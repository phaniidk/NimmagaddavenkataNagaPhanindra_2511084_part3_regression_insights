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13_ncr:1_{2BBFD7E2-CEA0-4B16-84D4-B2BCDF9A28E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riginal_Data" sheetId="1" r:id="rId1"/>
    <sheet name="Cleaned_Data" sheetId="3" r:id="rId2"/>
    <sheet name="Multiple_Regression" sheetId="8" r:id="rId3"/>
    <sheet name="residual" sheetId="9" r:id="rId4"/>
    <sheet name="Model_Comparison" sheetId="10" r:id="rId5"/>
    <sheet name="Dummy_Variables" sheetId="4" r:id="rId6"/>
    <sheet name="Simple_Regression" sheetId="6" r:id="rId7"/>
    <sheet name="data_dictionary" sheetId="2" r:id="rId8"/>
  </sheets>
  <definedNames>
    <definedName name="_xlnm._FilterDatabase" localSheetId="1" hidden="1">Cleaned_Data!$J$1:$J$323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21" i="4" l="1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E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2" i="4"/>
  <c r="J73" i="4" l="1"/>
  <c r="J73" i="3"/>
</calcChain>
</file>

<file path=xl/sharedStrings.xml><?xml version="1.0" encoding="utf-8"?>
<sst xmlns="http://schemas.openxmlformats.org/spreadsheetml/2006/main" count="3065" uniqueCount="168">
  <si>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</si>
  <si>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</si>
  <si>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</si>
  <si>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</si>
  <si>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</si>
  <si>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</si>
  <si>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</si>
  <si>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</si>
  <si>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</si>
  <si>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</si>
  <si>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</si>
  <si>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</si>
  <si>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</si>
  <si>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</si>
  <si>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</si>
  <si>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</si>
  <si>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</si>
  <si>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</si>
  <si>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</si>
  <si>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</si>
  <si>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</si>
  <si>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</si>
  <si>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</si>
  <si>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</si>
  <si>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</si>
  <si>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</si>
  <si>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</si>
  <si>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</si>
  <si>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</si>
  <si>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</si>
  <si>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</si>
  <si>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</si>
  <si>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</si>
  <si>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</si>
  <si>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</si>
  <si>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</si>
  <si>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</si>
  <si>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</si>
  <si>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</si>
  <si>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</si>
  <si>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</si>
  <si>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</si>
  <si>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</si>
  <si>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</si>
  <si>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</si>
  <si>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</si>
  <si>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</si>
  <si>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</si>
  <si>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</si>
  <si>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</si>
  <si>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</si>
  <si>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</si>
  <si>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</si>
  <si>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</si>
  <si>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</si>
  <si>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</si>
  <si>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</si>
  <si>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</si>
  <si>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</si>
  <si>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</si>
  <si>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</si>
  <si>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</si>
  <si>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</si>
  <si>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</si>
  <si>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</si>
  <si>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</si>
  <si>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</si>
  <si>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</si>
  <si>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</si>
  <si>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</si>
  <si>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</si>
  <si>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</si>
  <si>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</si>
  <si>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</si>
  <si>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</si>
  <si>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</si>
  <si>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</si>
  <si>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</si>
  <si>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</si>
  <si>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</si>
  <si>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</si>
  <si>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</si>
  <si>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</si>
  <si>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</si>
  <si>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</si>
  <si>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</si>
  <si>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</si>
  <si>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</si>
  <si>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</si>
  <si>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</si>
  <si>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</si>
  <si>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</si>
  <si>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</si>
  <si>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</si>
  <si>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</si>
  <si>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</si>
  <si>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</si>
  <si>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</si>
  <si>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</si>
  <si>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</si>
  <si>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</si>
  <si>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</si>
  <si>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</si>
  <si>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</si>
  <si>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</si>
  <si>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</si>
  <si>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</si>
  <si>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</si>
  <si>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</si>
  <si>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</si>
  <si>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</si>
  <si>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</si>
  <si>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</si>
  <si>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</si>
  <si>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</si>
  <si>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</si>
  <si>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</si>
  <si>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</si>
  <si>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Region_East</t>
  </si>
  <si>
    <t>Region_North</t>
  </si>
  <si>
    <t>Region_South</t>
  </si>
  <si>
    <t>Store_Residential</t>
  </si>
  <si>
    <t>Store_HighStreet</t>
  </si>
  <si>
    <t>Store_Airport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</si>
  <si>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</si>
  <si>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</si>
  <si>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</si>
  <si>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</si>
  <si>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</si>
  <si>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</si>
  <si>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</si>
  <si>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</si>
  <si>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</si>
  <si>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</si>
  <si>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</si>
  <si>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</si>
  <si>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</si>
  <si>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</si>
  <si>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</si>
  <si>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</si>
  <si>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</si>
  <si>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</si>
  <si>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</si>
  <si>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</si>
  <si>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</si>
  <si>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</si>
  <si>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</si>
  <si>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</si>
  <si>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monthly_sales &amp; marketing_spend</t>
  </si>
  <si>
    <t>monthly_sales &amp; footfall</t>
  </si>
  <si>
    <t>RESIDUAL OUTPUT</t>
  </si>
  <si>
    <t>Observation</t>
  </si>
  <si>
    <t>Predicted 658832.62</t>
  </si>
  <si>
    <t>Residuals</t>
  </si>
  <si>
    <t>Model</t>
  </si>
  <si>
    <t>Variables Used</t>
  </si>
  <si>
    <t>Significant?</t>
  </si>
  <si>
    <t>Business Usefulness</t>
  </si>
  <si>
    <t>Simple Regression 1</t>
  </si>
  <si>
    <t>Marketing Spend</t>
  </si>
  <si>
    <t>Yes</t>
  </si>
  <si>
    <t>Moderate</t>
  </si>
  <si>
    <t>Simple Regression 2</t>
  </si>
  <si>
    <t>Footfall</t>
  </si>
  <si>
    <t>Low</t>
  </si>
  <si>
    <t>Multiple Regression</t>
  </si>
  <si>
    <t>Marketing Spend, Footfall, Inventory Availability, Customer Rating, Region Dummy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</si>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</sst>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3" fillId="0" borderId="0" xfId="0" applyFont="1"/>
    <xf numFmtId="0" fontId="0" fillId="0" borderId="3" xfId="0" applyFill="1" applyBorder="1" applyAlignment="1"/>
    <xf numFmtId="0" fontId="0" fillId="0" borderId="2" xfId="0" applyBorder="1"/>
    <xf numFmtId="0" fontId="0" fillId="0" borderId="0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8077B2-0CCF-49E3-A732-A41D8E8F5AC2}" name="Table2" displayName="Table2" ref="A1:E4" totalsRowShown="0" headerRowDxfId="0" dataDxfId="1">
  <autoFilter ref="A1:E4" xr:uid="{908077B2-0CCF-49E3-A732-A41D8E8F5AC2}"/>
  <tableColumns count="5">
    <tableColumn id="1" xr3:uid="{BFA8654E-8F52-4C39-9402-992DD4FB0503}" name="Model" dataDxfId="6"/>
    <tableColumn id="2" xr3:uid="{87137A02-9AB9-4B6C-ABE5-7D7218C98425}" name="Variables Used" dataDxfId="5"/>
    <tableColumn id="3" xr3:uid="{A815D31C-E5BB-454C-94DF-AF686B7081E9}" name="R Square" dataDxfId="4"/>
    <tableColumn id="4" xr3:uid="{4467C026-6A41-4A29-956A-E31433300BBE}" name="Significant?" dataDxfId="3"/>
    <tableColumn id="5" xr3:uid="{5EF116E9-361D-4F5E-8CF7-976C531898CF}" name="Business Usefulness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B1791-278A-4CC9-88BD-5C42243D84CE}" name="Table1" displayName="Table1" ref="T1:V321" totalsRowShown="0">
  <tableColumns count="3">
    <tableColumn id="1" xr3:uid="{8B5B2FF5-9B38-4059-8BAC-C057EC57F381}" name="Store_Residential">
      <calculatedColumnFormula>IF(D2="Residential",1,0)</calculatedColumnFormula>
    </tableColumn>
    <tableColumn id="2" xr3:uid="{0B82C1AD-3D03-4DFD-99B3-50D0C4A31C9B}" name="Store_HighStreet">
      <calculatedColumnFormula>IF(D2="High Street",1,0)</calculatedColumnFormula>
    </tableColumn>
    <tableColumn id="3" xr3:uid="{F91133B4-9003-41ED-BD72-4ABA562B2DCB}" name="Store_Airport">
      <calculatedColumnFormula>IF(D2="Airport",1,0)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A295" workbookViewId="0">
      <selection activeCell="D43" sqref="A1:N321"/>
    </sheetView>
  </sheetViews>
  <sheetFormatPr defaultRowHeight="14.25"/>
  <cols>
    <col min="1" max="14" width="16" customWidth="1"/>
  </cols>
  <sheetData>
    <row r="1" spans="1:14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B2E9-58B3-428C-92F6-B920605739E2}">
  <dimension ref="A1:N321"/>
  <sheetViews>
    <sheetView workbookViewId="0">
      <selection activeCell="O17" sqref="A1:XFD1048576"/>
    </sheetView>
  </sheetViews>
  <sheetFormatPr defaultRowHeight="14.25"/>
  <cols>
    <col min="1" max="14" width="16" customWidth="1"/>
  </cols>
  <sheetData>
    <row r="1" spans="1:14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3.9239999999999999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f ca="1">AVERAGE(J2:J321)</f>
        <v>0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3.9239999999999999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4.5990000000000002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3.9239999999999999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3.9239999999999999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4.5990000000000002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3.9239999999999999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3.9239999999999999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4.5990000000000002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4.5990000000000002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4.5990000000000002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3.9239999999999999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3.9239999999999999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85A4-7854-4EF3-8B1F-4B2F0761F45D}">
  <dimension ref="A1:I347"/>
  <sheetViews>
    <sheetView topLeftCell="A311" workbookViewId="0">
      <selection activeCell="A25" sqref="A25:C347"/>
    </sheetView>
  </sheetViews>
  <sheetFormatPr defaultRowHeight="14.25"/>
  <sheetData>
    <row r="1" spans="1:9">
      <c r="A1" t="s">
        <v>124</v>
      </c>
    </row>
    <row r="2" spans="1:9" ht="15" thickBot="1"/>
    <row r="3" spans="1:9">
      <c r="A3" s="8" t="s">
        <v>125</v>
      </c>
      <c r="B3" s="8"/>
    </row>
    <row r="4" spans="1:9">
      <c r="A4" s="5" t="s">
        <v>126</v>
      </c>
      <c r="B4" s="5">
        <v>0.89908065899179501</v>
      </c>
    </row>
    <row r="5" spans="1:9">
      <c r="A5" s="5" t="s">
        <v>127</v>
      </c>
      <c r="B5" s="5">
        <v>0.80834603137312044</v>
      </c>
    </row>
    <row r="6" spans="1:9">
      <c r="A6" s="5" t="s">
        <v>128</v>
      </c>
      <c r="B6" s="5">
        <v>0.8052844663790808</v>
      </c>
    </row>
    <row r="7" spans="1:9">
      <c r="A7" s="5" t="s">
        <v>129</v>
      </c>
      <c r="B7" s="5">
        <v>45859.64014041199</v>
      </c>
    </row>
    <row r="8" spans="1:9" ht="15" thickBot="1">
      <c r="A8" s="6" t="s">
        <v>130</v>
      </c>
      <c r="B8" s="6">
        <v>319</v>
      </c>
    </row>
    <row r="10" spans="1:9" ht="15" thickBot="1">
      <c r="A10" t="s">
        <v>131</v>
      </c>
    </row>
    <row r="11" spans="1:9">
      <c r="A11" s="7"/>
      <c r="B11" s="7" t="s">
        <v>136</v>
      </c>
      <c r="C11" s="7" t="s">
        <v>137</v>
      </c>
      <c r="D11" s="7" t="s">
        <v>138</v>
      </c>
      <c r="E11" s="7" t="s">
        <v>139</v>
      </c>
      <c r="F11" s="7" t="s">
        <v>140</v>
      </c>
    </row>
    <row r="12" spans="1:9">
      <c r="A12" s="5" t="s">
        <v>132</v>
      </c>
      <c r="B12" s="5">
        <v>5</v>
      </c>
      <c r="C12" s="5">
        <v>2776419693798.9521</v>
      </c>
      <c r="D12" s="5">
        <v>555283938759.79041</v>
      </c>
      <c r="E12" s="5">
        <v>264.03033512169259</v>
      </c>
      <c r="F12" s="5">
        <v>5.6199318805088887E-110</v>
      </c>
    </row>
    <row r="13" spans="1:9">
      <c r="A13" s="5" t="s">
        <v>133</v>
      </c>
      <c r="B13" s="5">
        <v>313</v>
      </c>
      <c r="C13" s="5">
        <v>658272363861.93103</v>
      </c>
      <c r="D13" s="5">
        <v>2103106593.8080864</v>
      </c>
      <c r="E13" s="5"/>
      <c r="F13" s="5"/>
    </row>
    <row r="14" spans="1:9" ht="15" thickBot="1">
      <c r="A14" s="6" t="s">
        <v>134</v>
      </c>
      <c r="B14" s="6">
        <v>318</v>
      </c>
      <c r="C14" s="6">
        <v>3434692057660.8833</v>
      </c>
      <c r="D14" s="6"/>
      <c r="E14" s="6"/>
      <c r="F14" s="6"/>
    </row>
    <row r="15" spans="1:9" ht="15" thickBot="1"/>
    <row r="16" spans="1:9">
      <c r="A16" s="7"/>
      <c r="B16" s="7" t="s">
        <v>141</v>
      </c>
      <c r="C16" s="7" t="s">
        <v>129</v>
      </c>
      <c r="D16" s="7" t="s">
        <v>142</v>
      </c>
      <c r="E16" s="7" t="s">
        <v>143</v>
      </c>
      <c r="F16" s="7" t="s">
        <v>144</v>
      </c>
      <c r="G16" s="7" t="s">
        <v>145</v>
      </c>
      <c r="H16" s="7" t="s">
        <v>146</v>
      </c>
      <c r="I16" s="7" t="s">
        <v>147</v>
      </c>
    </row>
    <row r="17" spans="1:9">
      <c r="A17" s="5" t="s">
        <v>135</v>
      </c>
      <c r="B17" s="5">
        <v>93518.972311179634</v>
      </c>
      <c r="C17" s="5">
        <v>49994.7367247195</v>
      </c>
      <c r="D17" s="5">
        <v>1.8705763533892144</v>
      </c>
      <c r="E17" s="5">
        <v>6.2336873001418769E-2</v>
      </c>
      <c r="F17" s="5">
        <v>-4849.2727899382153</v>
      </c>
      <c r="G17" s="5">
        <v>191887.2174122975</v>
      </c>
      <c r="H17" s="5">
        <v>-4849.2727899382153</v>
      </c>
      <c r="I17" s="5">
        <v>191887.2174122975</v>
      </c>
    </row>
    <row r="18" spans="1:9">
      <c r="A18" s="5">
        <v>70389.11</v>
      </c>
      <c r="B18" s="5">
        <v>1.1952161102320067</v>
      </c>
      <c r="C18" s="5">
        <v>0.13288208556773073</v>
      </c>
      <c r="D18" s="5">
        <v>8.9945616455786173</v>
      </c>
      <c r="E18" s="5">
        <v>2.3268501627583529E-17</v>
      </c>
      <c r="F18" s="5">
        <v>0.93376103677802025</v>
      </c>
      <c r="G18" s="5">
        <v>1.4566711836859931</v>
      </c>
      <c r="H18" s="5">
        <v>0.93376103677802025</v>
      </c>
      <c r="I18" s="5">
        <v>1.4566711836859931</v>
      </c>
    </row>
    <row r="19" spans="1:9">
      <c r="A19" s="5">
        <v>8302</v>
      </c>
      <c r="B19" s="5">
        <v>33.838016932080151</v>
      </c>
      <c r="C19" s="5">
        <v>1.0607529347129672</v>
      </c>
      <c r="D19" s="5">
        <v>31.899998411257283</v>
      </c>
      <c r="E19" s="5">
        <v>2.2406764208140088E-100</v>
      </c>
      <c r="F19" s="5">
        <v>31.750909138151457</v>
      </c>
      <c r="G19" s="5">
        <v>35.925124726008846</v>
      </c>
      <c r="H19" s="5">
        <v>31.750909138151457</v>
      </c>
      <c r="I19" s="5">
        <v>35.925124726008846</v>
      </c>
    </row>
    <row r="20" spans="1:9">
      <c r="A20" s="5">
        <v>75</v>
      </c>
      <c r="B20" s="5">
        <v>2908.1448172088085</v>
      </c>
      <c r="C20" s="5">
        <v>485.57682617855471</v>
      </c>
      <c r="D20" s="5">
        <v>5.9890519078013726</v>
      </c>
      <c r="E20" s="5">
        <v>5.7885835567952029E-9</v>
      </c>
      <c r="F20" s="5">
        <v>1952.7374407091584</v>
      </c>
      <c r="G20" s="5">
        <v>3863.5521937084586</v>
      </c>
      <c r="H20" s="5">
        <v>1952.7374407091584</v>
      </c>
      <c r="I20" s="5">
        <v>3863.5521937084586</v>
      </c>
    </row>
    <row r="21" spans="1:9">
      <c r="A21" s="5">
        <v>3.1</v>
      </c>
      <c r="B21" s="5">
        <v>10472.022034866895</v>
      </c>
      <c r="C21" s="5">
        <v>4998.0755239738355</v>
      </c>
      <c r="D21" s="5">
        <v>2.0952108435810253</v>
      </c>
      <c r="E21" s="5">
        <v>3.6955566853447974E-2</v>
      </c>
      <c r="F21" s="5">
        <v>637.94848261908555</v>
      </c>
      <c r="G21" s="5">
        <v>20306.095587114705</v>
      </c>
      <c r="H21" s="5">
        <v>637.94848261908555</v>
      </c>
      <c r="I21" s="5">
        <v>20306.095587114705</v>
      </c>
    </row>
    <row r="22" spans="1:9" ht="15" thickBot="1">
      <c r="A22" s="6">
        <v>0</v>
      </c>
      <c r="B22" s="6">
        <v>0</v>
      </c>
      <c r="C22" s="6">
        <v>0</v>
      </c>
      <c r="D22" s="6">
        <v>65535</v>
      </c>
      <c r="E22" s="6" t="e">
        <v>#NUM!</v>
      </c>
      <c r="F22" s="6">
        <v>0</v>
      </c>
      <c r="G22" s="6">
        <v>0</v>
      </c>
      <c r="H22" s="6">
        <v>0</v>
      </c>
      <c r="I22" s="6">
        <v>0</v>
      </c>
    </row>
    <row r="26" spans="1:9">
      <c r="A26" t="s">
        <v>150</v>
      </c>
    </row>
    <row r="27" spans="1:9" ht="15" thickBot="1"/>
    <row r="28" spans="1:9">
      <c r="A28" s="7" t="s">
        <v>151</v>
      </c>
      <c r="B28" s="7" t="s">
        <v>152</v>
      </c>
      <c r="C28" s="7" t="s">
        <v>153</v>
      </c>
    </row>
    <row r="29" spans="1:9">
      <c r="A29" s="5">
        <v>1</v>
      </c>
      <c r="B29" s="5">
        <v>707855.10648927093</v>
      </c>
      <c r="C29" s="5">
        <v>-73419.106489270926</v>
      </c>
    </row>
    <row r="30" spans="1:9">
      <c r="A30" s="5">
        <v>2</v>
      </c>
      <c r="B30" s="5">
        <v>762931.47599247005</v>
      </c>
      <c r="C30" s="5">
        <v>-84209.415992469992</v>
      </c>
    </row>
    <row r="31" spans="1:9">
      <c r="A31" s="5">
        <v>3</v>
      </c>
      <c r="B31" s="5">
        <v>768923.92968112091</v>
      </c>
      <c r="C31" s="5">
        <v>-110003.62968112086</v>
      </c>
    </row>
    <row r="32" spans="1:9">
      <c r="A32" s="5">
        <v>4</v>
      </c>
      <c r="B32" s="5">
        <v>802183.83790076768</v>
      </c>
      <c r="C32" s="5">
        <v>-60842.397900767741</v>
      </c>
    </row>
    <row r="33" spans="1:3">
      <c r="A33" s="5">
        <v>5</v>
      </c>
      <c r="B33" s="5">
        <v>791172.52258116077</v>
      </c>
      <c r="C33" s="5">
        <v>-29337.1825811608</v>
      </c>
    </row>
    <row r="34" spans="1:3">
      <c r="A34" s="5">
        <v>6</v>
      </c>
      <c r="B34" s="5">
        <v>798687.64878068853</v>
      </c>
      <c r="C34" s="5">
        <v>7927.8912193115102</v>
      </c>
    </row>
    <row r="35" spans="1:3">
      <c r="A35" s="5">
        <v>7</v>
      </c>
      <c r="B35" s="5">
        <v>783721.00282192149</v>
      </c>
      <c r="C35" s="5">
        <v>66443.257178078522</v>
      </c>
    </row>
    <row r="36" spans="1:3">
      <c r="A36" s="5">
        <v>8</v>
      </c>
      <c r="B36" s="5">
        <v>848344.83755838394</v>
      </c>
      <c r="C36" s="5">
        <v>82236.862441616016</v>
      </c>
    </row>
    <row r="37" spans="1:3">
      <c r="A37" s="5">
        <v>9</v>
      </c>
      <c r="B37" s="5">
        <v>786201.76161444117</v>
      </c>
      <c r="C37" s="5">
        <v>-7190.821614441229</v>
      </c>
    </row>
    <row r="38" spans="1:3">
      <c r="A38" s="5">
        <v>10</v>
      </c>
      <c r="B38" s="5">
        <v>741442.37003893836</v>
      </c>
      <c r="C38" s="5">
        <v>-18381.61003893835</v>
      </c>
    </row>
    <row r="39" spans="1:3">
      <c r="A39" s="5">
        <v>11</v>
      </c>
      <c r="B39" s="5">
        <v>842628.98684648389</v>
      </c>
      <c r="C39" s="5">
        <v>68162.953153516049</v>
      </c>
    </row>
    <row r="40" spans="1:3">
      <c r="A40" s="5">
        <v>12</v>
      </c>
      <c r="B40" s="5">
        <v>893227.85625283746</v>
      </c>
      <c r="C40" s="5">
        <v>28940.743747162516</v>
      </c>
    </row>
    <row r="41" spans="1:3">
      <c r="A41" s="5">
        <v>13</v>
      </c>
      <c r="B41" s="5">
        <v>792251.22515216586</v>
      </c>
      <c r="C41" s="5">
        <v>-65644.945152165834</v>
      </c>
    </row>
    <row r="42" spans="1:3">
      <c r="A42" s="5">
        <v>14</v>
      </c>
      <c r="B42" s="5">
        <v>769385.89894820796</v>
      </c>
      <c r="C42" s="5">
        <v>-22884.808948207996</v>
      </c>
    </row>
    <row r="43" spans="1:3">
      <c r="A43" s="5">
        <v>15</v>
      </c>
      <c r="B43" s="5">
        <v>823310.65300597087</v>
      </c>
      <c r="C43" s="5">
        <v>10706.366994029144</v>
      </c>
    </row>
    <row r="44" spans="1:3">
      <c r="A44" s="5">
        <v>16</v>
      </c>
      <c r="B44" s="5">
        <v>684436.22979039641</v>
      </c>
      <c r="C44" s="5">
        <v>-18283.709790396388</v>
      </c>
    </row>
    <row r="45" spans="1:3">
      <c r="A45" s="5">
        <v>17</v>
      </c>
      <c r="B45" s="5">
        <v>600881.87028873456</v>
      </c>
      <c r="C45" s="5">
        <v>-27726.680288734613</v>
      </c>
    </row>
    <row r="46" spans="1:3">
      <c r="A46" s="5">
        <v>18</v>
      </c>
      <c r="B46" s="5">
        <v>689631.44792800187</v>
      </c>
      <c r="C46" s="5">
        <v>-23058.247928001918</v>
      </c>
    </row>
    <row r="47" spans="1:3">
      <c r="A47" s="5">
        <v>19</v>
      </c>
      <c r="B47" s="5">
        <v>606350.26255986211</v>
      </c>
      <c r="C47" s="5">
        <v>-14730.312559862155</v>
      </c>
    </row>
    <row r="48" spans="1:3">
      <c r="A48" s="5">
        <v>20</v>
      </c>
      <c r="B48" s="5">
        <v>524262.96166986489</v>
      </c>
      <c r="C48" s="5">
        <v>-108541.14166986488</v>
      </c>
    </row>
    <row r="49" spans="1:3">
      <c r="A49" s="5">
        <v>21</v>
      </c>
      <c r="B49" s="5">
        <v>515082.63809436909</v>
      </c>
      <c r="C49" s="5">
        <v>-23177.508094369085</v>
      </c>
    </row>
    <row r="50" spans="1:3">
      <c r="A50" s="5">
        <v>22</v>
      </c>
      <c r="B50" s="5">
        <v>544507.87920334435</v>
      </c>
      <c r="C50" s="5">
        <v>11421.520796655677</v>
      </c>
    </row>
    <row r="51" spans="1:3">
      <c r="A51" s="5">
        <v>23</v>
      </c>
      <c r="B51" s="5">
        <v>573171.97752743645</v>
      </c>
      <c r="C51" s="5">
        <v>-7360.9875274364604</v>
      </c>
    </row>
    <row r="52" spans="1:3">
      <c r="A52" s="5">
        <v>24</v>
      </c>
      <c r="B52" s="5">
        <v>820580.04851166566</v>
      </c>
      <c r="C52" s="5">
        <v>-8808.9085116656497</v>
      </c>
    </row>
    <row r="53" spans="1:3">
      <c r="A53" s="5">
        <v>25</v>
      </c>
      <c r="B53" s="5">
        <v>893187.72580126813</v>
      </c>
      <c r="C53" s="5">
        <v>-92735.785801268183</v>
      </c>
    </row>
    <row r="54" spans="1:3">
      <c r="A54" s="5">
        <v>26</v>
      </c>
      <c r="B54" s="5">
        <v>783926.91279936372</v>
      </c>
      <c r="C54" s="5">
        <v>-254.09279936377425</v>
      </c>
    </row>
    <row r="55" spans="1:3">
      <c r="A55" s="5">
        <v>27</v>
      </c>
      <c r="B55" s="5">
        <v>684549.18052207504</v>
      </c>
      <c r="C55" s="5">
        <v>17092.789477924933</v>
      </c>
    </row>
    <row r="56" spans="1:3">
      <c r="A56" s="5">
        <v>28</v>
      </c>
      <c r="B56" s="5">
        <v>595349.13882048882</v>
      </c>
      <c r="C56" s="5">
        <v>-83504.728820488846</v>
      </c>
    </row>
    <row r="57" spans="1:3">
      <c r="A57" s="5">
        <v>29</v>
      </c>
      <c r="B57" s="5">
        <v>536827.61808048701</v>
      </c>
      <c r="C57" s="5">
        <v>556.17191951302812</v>
      </c>
    </row>
    <row r="58" spans="1:3">
      <c r="A58" s="5">
        <v>30</v>
      </c>
      <c r="B58" s="5">
        <v>524381.64376127103</v>
      </c>
      <c r="C58" s="5">
        <v>-24208.62376127101</v>
      </c>
    </row>
    <row r="59" spans="1:3">
      <c r="A59" s="5">
        <v>31</v>
      </c>
      <c r="B59" s="5">
        <v>508962.81142241857</v>
      </c>
      <c r="C59" s="5">
        <v>-81045.431422418565</v>
      </c>
    </row>
    <row r="60" spans="1:3">
      <c r="A60" s="5">
        <v>32</v>
      </c>
      <c r="B60" s="5">
        <v>764064.79578340647</v>
      </c>
      <c r="C60" s="5">
        <v>-122199.76578340644</v>
      </c>
    </row>
    <row r="61" spans="1:3">
      <c r="A61" s="5">
        <v>33</v>
      </c>
      <c r="B61" s="5">
        <v>864840.03612884646</v>
      </c>
      <c r="C61" s="5">
        <v>-65362.276128846454</v>
      </c>
    </row>
    <row r="62" spans="1:3">
      <c r="A62" s="5">
        <v>34</v>
      </c>
      <c r="B62" s="5">
        <v>806687.27729024168</v>
      </c>
      <c r="C62" s="5">
        <v>-7735.1072902416345</v>
      </c>
    </row>
    <row r="63" spans="1:3">
      <c r="A63" s="5">
        <v>35</v>
      </c>
      <c r="B63" s="5">
        <v>835562.82696111756</v>
      </c>
      <c r="C63" s="5">
        <v>-34583.046961117536</v>
      </c>
    </row>
    <row r="64" spans="1:3">
      <c r="A64" s="5">
        <v>36</v>
      </c>
      <c r="B64" s="5">
        <v>768192.45405246574</v>
      </c>
      <c r="C64" s="5">
        <v>52401.475947534316</v>
      </c>
    </row>
    <row r="65" spans="1:3">
      <c r="A65" s="5">
        <v>37</v>
      </c>
      <c r="B65" s="5">
        <v>752663.67637018242</v>
      </c>
      <c r="C65" s="5">
        <v>-34333.146370182396</v>
      </c>
    </row>
    <row r="66" spans="1:3">
      <c r="A66" s="5">
        <v>38</v>
      </c>
      <c r="B66" s="5">
        <v>743986.13618341135</v>
      </c>
      <c r="C66" s="5">
        <v>-7352.7361834113253</v>
      </c>
    </row>
    <row r="67" spans="1:3">
      <c r="A67" s="5">
        <v>39</v>
      </c>
      <c r="B67" s="5">
        <v>821664.19493886922</v>
      </c>
      <c r="C67" s="5">
        <v>6959.6550611307612</v>
      </c>
    </row>
    <row r="68" spans="1:3">
      <c r="A68" s="5">
        <v>40</v>
      </c>
      <c r="B68" s="5">
        <v>588660.35558963695</v>
      </c>
      <c r="C68" s="5">
        <v>3535.494410363026</v>
      </c>
    </row>
    <row r="69" spans="1:3">
      <c r="A69" s="5">
        <v>41</v>
      </c>
      <c r="B69" s="5">
        <v>523193.27356436866</v>
      </c>
      <c r="C69" s="5">
        <v>9451.1864356313017</v>
      </c>
    </row>
    <row r="70" spans="1:3">
      <c r="A70" s="5">
        <v>42</v>
      </c>
      <c r="B70" s="5">
        <v>586968.5427732172</v>
      </c>
      <c r="C70" s="5">
        <v>70460.637226782856</v>
      </c>
    </row>
    <row r="71" spans="1:3">
      <c r="A71" s="5">
        <v>43</v>
      </c>
      <c r="B71" s="5">
        <v>593622.81646951835</v>
      </c>
      <c r="C71" s="5">
        <v>11555.183530481649</v>
      </c>
    </row>
    <row r="72" spans="1:3">
      <c r="A72" s="5">
        <v>44</v>
      </c>
      <c r="B72" s="5">
        <v>723586.75536260451</v>
      </c>
      <c r="C72" s="5">
        <v>-128119.15536260454</v>
      </c>
    </row>
    <row r="73" spans="1:3">
      <c r="A73" s="5">
        <v>45</v>
      </c>
      <c r="B73" s="5">
        <v>643883.53601652558</v>
      </c>
      <c r="C73" s="5">
        <v>-44280.136016525561</v>
      </c>
    </row>
    <row r="74" spans="1:3">
      <c r="A74" s="5">
        <v>46</v>
      </c>
      <c r="B74" s="5">
        <v>579912.59981147922</v>
      </c>
      <c r="C74" s="5">
        <v>34887.490188520751</v>
      </c>
    </row>
    <row r="75" spans="1:3">
      <c r="A75" s="5">
        <v>47</v>
      </c>
      <c r="B75" s="5">
        <v>572160.70563143853</v>
      </c>
      <c r="C75" s="5">
        <v>13205.024368561455</v>
      </c>
    </row>
    <row r="76" spans="1:3">
      <c r="A76" s="5">
        <v>48</v>
      </c>
      <c r="B76" s="5">
        <v>654135.02069507074</v>
      </c>
      <c r="C76" s="5">
        <v>-31323.280695070745</v>
      </c>
    </row>
    <row r="77" spans="1:3">
      <c r="A77" s="5">
        <v>49</v>
      </c>
      <c r="B77" s="5">
        <v>595688.63127113134</v>
      </c>
      <c r="C77" s="5">
        <v>7608.9387288686121</v>
      </c>
    </row>
    <row r="78" spans="1:3">
      <c r="A78" s="5">
        <v>50</v>
      </c>
      <c r="B78" s="5">
        <v>606438.11822034826</v>
      </c>
      <c r="C78" s="5">
        <v>19234.741779651726</v>
      </c>
    </row>
    <row r="79" spans="1:3">
      <c r="A79" s="5">
        <v>51</v>
      </c>
      <c r="B79" s="5">
        <v>735507.48701612372</v>
      </c>
      <c r="C79" s="5">
        <v>38307.652983876294</v>
      </c>
    </row>
    <row r="80" spans="1:3">
      <c r="A80" s="5">
        <v>52</v>
      </c>
      <c r="B80" s="5">
        <v>553836.2557415145</v>
      </c>
      <c r="C80" s="5">
        <v>-90302.005741514498</v>
      </c>
    </row>
    <row r="81" spans="1:3">
      <c r="A81" s="5">
        <v>53</v>
      </c>
      <c r="B81" s="5">
        <v>719265.35258610372</v>
      </c>
      <c r="C81" s="5">
        <v>27412.39741389628</v>
      </c>
    </row>
    <row r="82" spans="1:3">
      <c r="A82" s="5">
        <v>54</v>
      </c>
      <c r="B82" s="5">
        <v>678162.08205117937</v>
      </c>
      <c r="C82" s="5">
        <v>42690.417948820628</v>
      </c>
    </row>
    <row r="83" spans="1:3">
      <c r="A83" s="5">
        <v>55</v>
      </c>
      <c r="B83" s="5">
        <v>526267.1240304237</v>
      </c>
      <c r="C83" s="5">
        <v>-38802.214030423725</v>
      </c>
    </row>
    <row r="84" spans="1:3">
      <c r="A84" s="5">
        <v>56</v>
      </c>
      <c r="B84" s="5">
        <v>509475.41405670485</v>
      </c>
      <c r="C84" s="5">
        <v>8573.845943295164</v>
      </c>
    </row>
    <row r="85" spans="1:3">
      <c r="A85" s="5">
        <v>57</v>
      </c>
      <c r="B85" s="5">
        <v>509389.69830752548</v>
      </c>
      <c r="C85" s="5">
        <v>-9091.2183075255016</v>
      </c>
    </row>
    <row r="86" spans="1:3">
      <c r="A86" s="5">
        <v>58</v>
      </c>
      <c r="B86" s="5">
        <v>657501.87967040145</v>
      </c>
      <c r="C86" s="5">
        <v>-40210.72967040143</v>
      </c>
    </row>
    <row r="87" spans="1:3">
      <c r="A87" s="5">
        <v>59</v>
      </c>
      <c r="B87" s="5">
        <v>595042.09843062074</v>
      </c>
      <c r="C87" s="5">
        <v>-41285.668430620688</v>
      </c>
    </row>
    <row r="88" spans="1:3">
      <c r="A88" s="5">
        <v>60</v>
      </c>
      <c r="B88" s="5">
        <v>679359.84068790346</v>
      </c>
      <c r="C88" s="5">
        <v>70199.869312096504</v>
      </c>
    </row>
    <row r="89" spans="1:3">
      <c r="A89" s="5">
        <v>61</v>
      </c>
      <c r="B89" s="5">
        <v>562346.13953796949</v>
      </c>
      <c r="C89" s="5">
        <v>53620.340462030494</v>
      </c>
    </row>
    <row r="90" spans="1:3">
      <c r="A90" s="5">
        <v>62</v>
      </c>
      <c r="B90" s="5">
        <v>576307.25714498071</v>
      </c>
      <c r="C90" s="5">
        <v>-4296.0571449807612</v>
      </c>
    </row>
    <row r="91" spans="1:3">
      <c r="A91" s="5">
        <v>63</v>
      </c>
      <c r="B91" s="5">
        <v>708697.50444920838</v>
      </c>
      <c r="C91" s="5">
        <v>53162.685550791561</v>
      </c>
    </row>
    <row r="92" spans="1:3">
      <c r="A92" s="5">
        <v>64</v>
      </c>
      <c r="B92" s="5">
        <v>799865.53157576406</v>
      </c>
      <c r="C92" s="5">
        <v>-15362.851575764013</v>
      </c>
    </row>
    <row r="93" spans="1:3">
      <c r="A93" s="5">
        <v>65</v>
      </c>
      <c r="B93" s="5">
        <v>732355.75582826138</v>
      </c>
      <c r="C93" s="5">
        <v>-15214.205828261329</v>
      </c>
    </row>
    <row r="94" spans="1:3">
      <c r="A94" s="5">
        <v>66</v>
      </c>
      <c r="B94" s="5">
        <v>835563.94375257334</v>
      </c>
      <c r="C94" s="5">
        <v>-150184.86375257338</v>
      </c>
    </row>
    <row r="95" spans="1:3">
      <c r="A95" s="5">
        <v>67</v>
      </c>
      <c r="B95" s="5">
        <v>727032.79852420522</v>
      </c>
      <c r="C95" s="5">
        <v>13463.8514757948</v>
      </c>
    </row>
    <row r="96" spans="1:3">
      <c r="A96" s="5">
        <v>68</v>
      </c>
      <c r="B96" s="5">
        <v>593043.72221032588</v>
      </c>
      <c r="C96" s="5">
        <v>68883.417789674131</v>
      </c>
    </row>
    <row r="97" spans="1:3">
      <c r="A97" s="5">
        <v>69</v>
      </c>
      <c r="B97" s="5">
        <v>505859.85957265657</v>
      </c>
      <c r="C97" s="5">
        <v>-26809.359572656569</v>
      </c>
    </row>
    <row r="98" spans="1:3">
      <c r="A98" s="5">
        <v>70</v>
      </c>
      <c r="B98" s="5">
        <v>595376.982880631</v>
      </c>
      <c r="C98" s="5">
        <v>9646.8871193689993</v>
      </c>
    </row>
    <row r="99" spans="1:3">
      <c r="A99" s="5">
        <v>71</v>
      </c>
      <c r="B99" s="5">
        <v>637523.20602231531</v>
      </c>
      <c r="C99" s="5">
        <v>37250.883977684658</v>
      </c>
    </row>
    <row r="100" spans="1:3">
      <c r="A100" s="5">
        <v>72</v>
      </c>
      <c r="B100" s="5">
        <v>625278.99657642469</v>
      </c>
      <c r="C100" s="5">
        <v>-9209.5865764246555</v>
      </c>
    </row>
    <row r="101" spans="1:3">
      <c r="A101" s="5">
        <v>73</v>
      </c>
      <c r="B101" s="5">
        <v>709773.79058338038</v>
      </c>
      <c r="C101" s="5">
        <v>-78943.850583380437</v>
      </c>
    </row>
    <row r="102" spans="1:3">
      <c r="A102" s="5">
        <v>74</v>
      </c>
      <c r="B102" s="5">
        <v>723436.66388766468</v>
      </c>
      <c r="C102" s="5">
        <v>64651.016112335376</v>
      </c>
    </row>
    <row r="103" spans="1:3">
      <c r="A103" s="5">
        <v>75</v>
      </c>
      <c r="B103" s="5">
        <v>737866.82986396621</v>
      </c>
      <c r="C103" s="5">
        <v>-57026.469863966224</v>
      </c>
    </row>
    <row r="104" spans="1:3">
      <c r="A104" s="5">
        <v>76</v>
      </c>
      <c r="B104" s="5">
        <v>646516.42650854401</v>
      </c>
      <c r="C104" s="5">
        <v>-2858.9565085440408</v>
      </c>
    </row>
    <row r="105" spans="1:3">
      <c r="A105" s="5">
        <v>77</v>
      </c>
      <c r="B105" s="5">
        <v>639570.53902884875</v>
      </c>
      <c r="C105" s="5">
        <v>51542.060971151222</v>
      </c>
    </row>
    <row r="106" spans="1:3">
      <c r="A106" s="5">
        <v>78</v>
      </c>
      <c r="B106" s="5">
        <v>719966.69214337482</v>
      </c>
      <c r="C106" s="5">
        <v>56955.477856625221</v>
      </c>
    </row>
    <row r="107" spans="1:3">
      <c r="A107" s="5">
        <v>79</v>
      </c>
      <c r="B107" s="5">
        <v>658836.66669056215</v>
      </c>
      <c r="C107" s="5">
        <v>-22275.326690562186</v>
      </c>
    </row>
    <row r="108" spans="1:3">
      <c r="A108" s="5">
        <v>80</v>
      </c>
      <c r="B108" s="5">
        <v>641513.25939713593</v>
      </c>
      <c r="C108" s="5">
        <v>-20143.679397135973</v>
      </c>
    </row>
    <row r="109" spans="1:3">
      <c r="A109" s="5">
        <v>81</v>
      </c>
      <c r="B109" s="5">
        <v>625337.07917143323</v>
      </c>
      <c r="C109" s="5">
        <v>56870.930828566779</v>
      </c>
    </row>
    <row r="110" spans="1:3">
      <c r="A110" s="5">
        <v>82</v>
      </c>
      <c r="B110" s="5">
        <v>639062.86812657432</v>
      </c>
      <c r="C110" s="5">
        <v>88178.991873425664</v>
      </c>
    </row>
    <row r="111" spans="1:3">
      <c r="A111" s="5">
        <v>83</v>
      </c>
      <c r="B111" s="5">
        <v>544648.23006170092</v>
      </c>
      <c r="C111" s="5">
        <v>24452.549938299111</v>
      </c>
    </row>
    <row r="112" spans="1:3">
      <c r="A112" s="5">
        <v>84</v>
      </c>
      <c r="B112" s="5">
        <v>563981.51939602196</v>
      </c>
      <c r="C112" s="5">
        <v>10454.770603978075</v>
      </c>
    </row>
    <row r="113" spans="1:3">
      <c r="A113" s="5">
        <v>85</v>
      </c>
      <c r="B113" s="5">
        <v>643066.53402718995</v>
      </c>
      <c r="C113" s="5">
        <v>-31299.814027189976</v>
      </c>
    </row>
    <row r="114" spans="1:3">
      <c r="A114" s="5">
        <v>86</v>
      </c>
      <c r="B114" s="5">
        <v>617601.93068902683</v>
      </c>
      <c r="C114" s="5">
        <v>-3005.6106890268857</v>
      </c>
    </row>
    <row r="115" spans="1:3">
      <c r="A115" s="5">
        <v>87</v>
      </c>
      <c r="B115" s="5">
        <v>458294.59491195186</v>
      </c>
      <c r="C115" s="5">
        <v>-7582.674911951879</v>
      </c>
    </row>
    <row r="116" spans="1:3">
      <c r="A116" s="5">
        <v>88</v>
      </c>
      <c r="B116" s="5">
        <v>664837.41885173647</v>
      </c>
      <c r="C116" s="5">
        <v>46376.041148263495</v>
      </c>
    </row>
    <row r="117" spans="1:3">
      <c r="A117" s="5">
        <v>89</v>
      </c>
      <c r="B117" s="5">
        <v>745548.19685338996</v>
      </c>
      <c r="C117" s="5">
        <v>-118376.29685338994</v>
      </c>
    </row>
    <row r="118" spans="1:3">
      <c r="A118" s="5">
        <v>90</v>
      </c>
      <c r="B118" s="5">
        <v>710473.80868299096</v>
      </c>
      <c r="C118" s="5">
        <v>29378.771317008999</v>
      </c>
    </row>
    <row r="119" spans="1:3">
      <c r="A119" s="5">
        <v>91</v>
      </c>
      <c r="B119" s="5">
        <v>547402.75245654839</v>
      </c>
      <c r="C119" s="5">
        <v>38904.467543451581</v>
      </c>
    </row>
    <row r="120" spans="1:3">
      <c r="A120" s="5">
        <v>92</v>
      </c>
      <c r="B120" s="5">
        <v>605771.3809948446</v>
      </c>
      <c r="C120" s="5">
        <v>-19833.900994844618</v>
      </c>
    </row>
    <row r="121" spans="1:3">
      <c r="A121" s="5">
        <v>93</v>
      </c>
      <c r="B121" s="5">
        <v>704766.80884421384</v>
      </c>
      <c r="C121" s="5">
        <v>48706.741155786207</v>
      </c>
    </row>
    <row r="122" spans="1:3">
      <c r="A122" s="5">
        <v>94</v>
      </c>
      <c r="B122" s="5">
        <v>784374.52249789436</v>
      </c>
      <c r="C122" s="5">
        <v>53875.79750210559</v>
      </c>
    </row>
    <row r="123" spans="1:3">
      <c r="A123" s="5">
        <v>95</v>
      </c>
      <c r="B123" s="5">
        <v>630652.33461046265</v>
      </c>
      <c r="C123" s="5">
        <v>-22754.214610462659</v>
      </c>
    </row>
    <row r="124" spans="1:3">
      <c r="A124" s="5">
        <v>96</v>
      </c>
      <c r="B124" s="5">
        <v>693663.36281014676</v>
      </c>
      <c r="C124" s="5">
        <v>-2549.7428101467667</v>
      </c>
    </row>
    <row r="125" spans="1:3">
      <c r="A125" s="5">
        <v>97</v>
      </c>
      <c r="B125" s="5">
        <v>656563.38862669992</v>
      </c>
      <c r="C125" s="5">
        <v>78946.011373300105</v>
      </c>
    </row>
    <row r="126" spans="1:3">
      <c r="A126" s="5">
        <v>98</v>
      </c>
      <c r="B126" s="5">
        <v>605171.96382529789</v>
      </c>
      <c r="C126" s="5">
        <v>603.36617470206693</v>
      </c>
    </row>
    <row r="127" spans="1:3">
      <c r="A127" s="5">
        <v>99</v>
      </c>
      <c r="B127" s="5">
        <v>648793.33746041555</v>
      </c>
      <c r="C127" s="5">
        <v>26384.342539584497</v>
      </c>
    </row>
    <row r="128" spans="1:3">
      <c r="A128" s="5">
        <v>100</v>
      </c>
      <c r="B128" s="5">
        <v>592086.1235839146</v>
      </c>
      <c r="C128" s="5">
        <v>43095.226416085381</v>
      </c>
    </row>
    <row r="129" spans="1:3">
      <c r="A129" s="5">
        <v>101</v>
      </c>
      <c r="B129" s="5">
        <v>629027.4523439717</v>
      </c>
      <c r="C129" s="5">
        <v>-42400.512343971757</v>
      </c>
    </row>
    <row r="130" spans="1:3">
      <c r="A130" s="5">
        <v>102</v>
      </c>
      <c r="B130" s="5">
        <v>712553.18489045871</v>
      </c>
      <c r="C130" s="5">
        <v>27549.455109541304</v>
      </c>
    </row>
    <row r="131" spans="1:3">
      <c r="A131" s="5">
        <v>103</v>
      </c>
      <c r="B131" s="5">
        <v>533969.80097554333</v>
      </c>
      <c r="C131" s="5">
        <v>91544.239024456707</v>
      </c>
    </row>
    <row r="132" spans="1:3">
      <c r="A132" s="5">
        <v>104</v>
      </c>
      <c r="B132" s="5">
        <v>681975.4970793929</v>
      </c>
      <c r="C132" s="5">
        <v>45251.702920607058</v>
      </c>
    </row>
    <row r="133" spans="1:3">
      <c r="A133" s="5">
        <v>105</v>
      </c>
      <c r="B133" s="5">
        <v>776871.124826652</v>
      </c>
      <c r="C133" s="5">
        <v>6926.7651733480161</v>
      </c>
    </row>
    <row r="134" spans="1:3">
      <c r="A134" s="5">
        <v>106</v>
      </c>
      <c r="B134" s="5">
        <v>712032.37959519564</v>
      </c>
      <c r="C134" s="5">
        <v>83121.460404804326</v>
      </c>
    </row>
    <row r="135" spans="1:3">
      <c r="A135" s="5">
        <v>107</v>
      </c>
      <c r="B135" s="5">
        <v>657626.76260651893</v>
      </c>
      <c r="C135" s="5">
        <v>7968.177393481019</v>
      </c>
    </row>
    <row r="136" spans="1:3">
      <c r="A136" s="5">
        <v>108</v>
      </c>
      <c r="B136" s="5">
        <v>673911.87609587726</v>
      </c>
      <c r="C136" s="5">
        <v>35566.513904122752</v>
      </c>
    </row>
    <row r="137" spans="1:3">
      <c r="A137" s="5">
        <v>109</v>
      </c>
      <c r="B137" s="5">
        <v>653701.39181874308</v>
      </c>
      <c r="C137" s="5">
        <v>10461.098181256908</v>
      </c>
    </row>
    <row r="138" spans="1:3">
      <c r="A138" s="5">
        <v>110</v>
      </c>
      <c r="B138" s="5">
        <v>652369.78120692202</v>
      </c>
      <c r="C138" s="5">
        <v>-18875.571206922061</v>
      </c>
    </row>
    <row r="139" spans="1:3">
      <c r="A139" s="5">
        <v>111</v>
      </c>
      <c r="B139" s="5">
        <v>597389.01546208444</v>
      </c>
      <c r="C139" s="5">
        <v>116222.14453791559</v>
      </c>
    </row>
    <row r="140" spans="1:3">
      <c r="A140" s="5">
        <v>112</v>
      </c>
      <c r="B140" s="5">
        <v>724973.55706280621</v>
      </c>
      <c r="C140" s="5">
        <v>53424.41293719376</v>
      </c>
    </row>
    <row r="141" spans="1:3">
      <c r="A141" s="5">
        <v>113</v>
      </c>
      <c r="B141" s="5">
        <v>821326.1015919518</v>
      </c>
      <c r="C141" s="5">
        <v>52053.918408048223</v>
      </c>
    </row>
    <row r="142" spans="1:3">
      <c r="A142" s="5">
        <v>114</v>
      </c>
      <c r="B142" s="5">
        <v>732241.7945717515</v>
      </c>
      <c r="C142" s="5">
        <v>-34953.894571751473</v>
      </c>
    </row>
    <row r="143" spans="1:3">
      <c r="A143" s="5">
        <v>115</v>
      </c>
      <c r="B143" s="5">
        <v>741112.17134449387</v>
      </c>
      <c r="C143" s="5">
        <v>-23037.381344493828</v>
      </c>
    </row>
    <row r="144" spans="1:3">
      <c r="A144" s="5">
        <v>116</v>
      </c>
      <c r="B144" s="5">
        <v>724238.96777259512</v>
      </c>
      <c r="C144" s="5">
        <v>-9296.5377725950675</v>
      </c>
    </row>
    <row r="145" spans="1:3">
      <c r="A145" s="5">
        <v>117</v>
      </c>
      <c r="B145" s="5">
        <v>741259.89784254786</v>
      </c>
      <c r="C145" s="5">
        <v>79259.142157452181</v>
      </c>
    </row>
    <row r="146" spans="1:3">
      <c r="A146" s="5">
        <v>118</v>
      </c>
      <c r="B146" s="5">
        <v>761923.54517030856</v>
      </c>
      <c r="C146" s="5">
        <v>-77706.225170308608</v>
      </c>
    </row>
    <row r="147" spans="1:3">
      <c r="A147" s="5">
        <v>119</v>
      </c>
      <c r="B147" s="5">
        <v>751224.6856820964</v>
      </c>
      <c r="C147" s="5">
        <v>-15744.495682096458</v>
      </c>
    </row>
    <row r="148" spans="1:3">
      <c r="A148" s="5">
        <v>120</v>
      </c>
      <c r="B148" s="5">
        <v>563815.13008506841</v>
      </c>
      <c r="C148" s="5">
        <v>-54330.320085068408</v>
      </c>
    </row>
    <row r="149" spans="1:3">
      <c r="A149" s="5">
        <v>121</v>
      </c>
      <c r="B149" s="5">
        <v>616506.96489060426</v>
      </c>
      <c r="C149" s="5">
        <v>37810.125109395711</v>
      </c>
    </row>
    <row r="150" spans="1:3">
      <c r="A150" s="5">
        <v>122</v>
      </c>
      <c r="B150" s="5">
        <v>591097.25222142844</v>
      </c>
      <c r="C150" s="5">
        <v>-33609.992221428431</v>
      </c>
    </row>
    <row r="151" spans="1:3">
      <c r="A151" s="5">
        <v>123</v>
      </c>
      <c r="B151" s="5">
        <v>511292.67107324587</v>
      </c>
      <c r="C151" s="5">
        <v>-70017.25107324589</v>
      </c>
    </row>
    <row r="152" spans="1:3">
      <c r="A152" s="5">
        <v>124</v>
      </c>
      <c r="B152" s="5">
        <v>825327.30613571301</v>
      </c>
      <c r="C152" s="5">
        <v>89216.863864287036</v>
      </c>
    </row>
    <row r="153" spans="1:3">
      <c r="A153" s="5">
        <v>125</v>
      </c>
      <c r="B153" s="5">
        <v>853738.71562049119</v>
      </c>
      <c r="C153" s="5">
        <v>-11299.045620491146</v>
      </c>
    </row>
    <row r="154" spans="1:3">
      <c r="A154" s="5">
        <v>126</v>
      </c>
      <c r="B154" s="5">
        <v>792846.53186406125</v>
      </c>
      <c r="C154" s="5">
        <v>49311.388135938789</v>
      </c>
    </row>
    <row r="155" spans="1:3">
      <c r="A155" s="5">
        <v>127</v>
      </c>
      <c r="B155" s="5">
        <v>704194.05050560099</v>
      </c>
      <c r="C155" s="5">
        <v>-7038.7505056009395</v>
      </c>
    </row>
    <row r="156" spans="1:3">
      <c r="A156" s="5">
        <v>128</v>
      </c>
      <c r="B156" s="5">
        <v>834860.8211763677</v>
      </c>
      <c r="C156" s="5">
        <v>14157.478823632351</v>
      </c>
    </row>
    <row r="157" spans="1:3">
      <c r="A157" s="5">
        <v>129</v>
      </c>
      <c r="B157" s="5">
        <v>811861.89267227799</v>
      </c>
      <c r="C157" s="5">
        <v>-10031.54267227801</v>
      </c>
    </row>
    <row r="158" spans="1:3">
      <c r="A158" s="5">
        <v>130</v>
      </c>
      <c r="B158" s="5">
        <v>799554.98253071622</v>
      </c>
      <c r="C158" s="5">
        <v>-74319.702530716197</v>
      </c>
    </row>
    <row r="159" spans="1:3">
      <c r="A159" s="5">
        <v>131</v>
      </c>
      <c r="B159" s="5">
        <v>833933.175185206</v>
      </c>
      <c r="C159" s="5">
        <v>-22480.455185206025</v>
      </c>
    </row>
    <row r="160" spans="1:3">
      <c r="A160" s="5">
        <v>132</v>
      </c>
      <c r="B160" s="5">
        <v>582186.22624474356</v>
      </c>
      <c r="C160" s="5">
        <v>-54886.09624474356</v>
      </c>
    </row>
    <row r="161" spans="1:3">
      <c r="A161" s="5">
        <v>133</v>
      </c>
      <c r="B161" s="5">
        <v>458224.27387366624</v>
      </c>
      <c r="C161" s="5">
        <v>-57392.62387366622</v>
      </c>
    </row>
    <row r="162" spans="1:3">
      <c r="A162" s="5">
        <v>134</v>
      </c>
      <c r="B162" s="5">
        <v>602532.87122075201</v>
      </c>
      <c r="C162" s="5">
        <v>-9285.6212207520148</v>
      </c>
    </row>
    <row r="163" spans="1:3">
      <c r="A163" s="5">
        <v>135</v>
      </c>
      <c r="B163" s="5">
        <v>553369.19067142089</v>
      </c>
      <c r="C163" s="5">
        <v>-24293.240671420936</v>
      </c>
    </row>
    <row r="164" spans="1:3">
      <c r="A164" s="5">
        <v>136</v>
      </c>
      <c r="B164" s="5">
        <v>713895.17638463294</v>
      </c>
      <c r="C164" s="5">
        <v>-80257.146384632913</v>
      </c>
    </row>
    <row r="165" spans="1:3">
      <c r="A165" s="5">
        <v>137</v>
      </c>
      <c r="B165" s="5">
        <v>713376.66507951356</v>
      </c>
      <c r="C165" s="5">
        <v>29972.174920486403</v>
      </c>
    </row>
    <row r="166" spans="1:3">
      <c r="A166" s="5">
        <v>138</v>
      </c>
      <c r="B166" s="5">
        <v>695228.27529788658</v>
      </c>
      <c r="C166" s="5">
        <v>63599.364702113438</v>
      </c>
    </row>
    <row r="167" spans="1:3">
      <c r="A167" s="5">
        <v>139</v>
      </c>
      <c r="B167" s="5">
        <v>630718.8826240832</v>
      </c>
      <c r="C167" s="5">
        <v>15840.827375916764</v>
      </c>
    </row>
    <row r="168" spans="1:3">
      <c r="A168" s="5">
        <v>140</v>
      </c>
      <c r="B168" s="5">
        <v>673644.79231098155</v>
      </c>
      <c r="C168" s="5">
        <v>42245.737689018482</v>
      </c>
    </row>
    <row r="169" spans="1:3">
      <c r="A169" s="5">
        <v>141</v>
      </c>
      <c r="B169" s="5">
        <v>692927.9053415138</v>
      </c>
      <c r="C169" s="5">
        <v>22169.664658486145</v>
      </c>
    </row>
    <row r="170" spans="1:3">
      <c r="A170" s="5">
        <v>142</v>
      </c>
      <c r="B170" s="5">
        <v>634329.94127586822</v>
      </c>
      <c r="C170" s="5">
        <v>48309.338724131812</v>
      </c>
    </row>
    <row r="171" spans="1:3">
      <c r="A171" s="5">
        <v>143</v>
      </c>
      <c r="B171" s="5">
        <v>673762.75789158407</v>
      </c>
      <c r="C171" s="5">
        <v>21335.752108415938</v>
      </c>
    </row>
    <row r="172" spans="1:3">
      <c r="A172" s="5">
        <v>144</v>
      </c>
      <c r="B172" s="5">
        <v>619502.26656737353</v>
      </c>
      <c r="C172" s="5">
        <v>-41769.696567373583</v>
      </c>
    </row>
    <row r="173" spans="1:3">
      <c r="A173" s="5">
        <v>145</v>
      </c>
      <c r="B173" s="5">
        <v>570169.22783974675</v>
      </c>
      <c r="C173" s="5">
        <v>-33110.897839746787</v>
      </c>
    </row>
    <row r="174" spans="1:3">
      <c r="A174" s="5">
        <v>146</v>
      </c>
      <c r="B174" s="5">
        <v>609499.94206418679</v>
      </c>
      <c r="C174" s="5">
        <v>-7931.0720641867956</v>
      </c>
    </row>
    <row r="175" spans="1:3">
      <c r="A175" s="5">
        <v>147</v>
      </c>
      <c r="B175" s="5">
        <v>574567.65489852231</v>
      </c>
      <c r="C175" s="5">
        <v>-3602.8148985223379</v>
      </c>
    </row>
    <row r="176" spans="1:3">
      <c r="A176" s="5">
        <v>148</v>
      </c>
      <c r="B176" s="5">
        <v>631487.09030299576</v>
      </c>
      <c r="C176" s="5">
        <v>-17462.180302995723</v>
      </c>
    </row>
    <row r="177" spans="1:3">
      <c r="A177" s="5">
        <v>149</v>
      </c>
      <c r="B177" s="5">
        <v>697810.13866214687</v>
      </c>
      <c r="C177" s="5">
        <v>15058.211337853107</v>
      </c>
    </row>
    <row r="178" spans="1:3">
      <c r="A178" s="5">
        <v>150</v>
      </c>
      <c r="B178" s="5">
        <v>652627.17509608541</v>
      </c>
      <c r="C178" s="5">
        <v>44116.974903914612</v>
      </c>
    </row>
    <row r="179" spans="1:3">
      <c r="A179" s="5">
        <v>151</v>
      </c>
      <c r="B179" s="5">
        <v>696591.19817262096</v>
      </c>
      <c r="C179" s="5">
        <v>29256.791827379027</v>
      </c>
    </row>
    <row r="180" spans="1:3">
      <c r="A180" s="5">
        <v>152</v>
      </c>
      <c r="B180" s="5">
        <v>812576.30185127945</v>
      </c>
      <c r="C180" s="5">
        <v>-27548.051851279452</v>
      </c>
    </row>
    <row r="181" spans="1:3">
      <c r="A181" s="5">
        <v>153</v>
      </c>
      <c r="B181" s="5">
        <v>695520.03636916494</v>
      </c>
      <c r="C181" s="5">
        <v>2972.6336308351019</v>
      </c>
    </row>
    <row r="182" spans="1:3">
      <c r="A182" s="5">
        <v>154</v>
      </c>
      <c r="B182" s="5">
        <v>736190.72723539395</v>
      </c>
      <c r="C182" s="5">
        <v>-50360.487235393957</v>
      </c>
    </row>
    <row r="183" spans="1:3">
      <c r="A183" s="5">
        <v>155</v>
      </c>
      <c r="B183" s="5">
        <v>712969.08635854174</v>
      </c>
      <c r="C183" s="5">
        <v>-10650.146358541795</v>
      </c>
    </row>
    <row r="184" spans="1:3">
      <c r="A184" s="5">
        <v>156</v>
      </c>
      <c r="B184" s="5">
        <v>703353.54926731554</v>
      </c>
      <c r="C184" s="5">
        <v>-3275.2292673155898</v>
      </c>
    </row>
    <row r="185" spans="1:3">
      <c r="A185" s="5">
        <v>157</v>
      </c>
      <c r="B185" s="5">
        <v>624081.82274527126</v>
      </c>
      <c r="C185" s="5">
        <v>-22079.502745271311</v>
      </c>
    </row>
    <row r="186" spans="1:3">
      <c r="A186" s="5">
        <v>158</v>
      </c>
      <c r="B186" s="5">
        <v>650311.38324192597</v>
      </c>
      <c r="C186" s="5">
        <v>73904.686758073978</v>
      </c>
    </row>
    <row r="187" spans="1:3">
      <c r="A187" s="5">
        <v>159</v>
      </c>
      <c r="B187" s="5">
        <v>556503.20086488978</v>
      </c>
      <c r="C187" s="5">
        <v>64469.829135110253</v>
      </c>
    </row>
    <row r="188" spans="1:3">
      <c r="A188" s="5">
        <v>160</v>
      </c>
      <c r="B188" s="5">
        <v>699227.15600476856</v>
      </c>
      <c r="C188" s="5">
        <v>-48747.096004768508</v>
      </c>
    </row>
    <row r="189" spans="1:3">
      <c r="A189" s="5">
        <v>161</v>
      </c>
      <c r="B189" s="5">
        <v>696632.95149383822</v>
      </c>
      <c r="C189" s="5">
        <v>81665.928506161785</v>
      </c>
    </row>
    <row r="190" spans="1:3">
      <c r="A190" s="5">
        <v>162</v>
      </c>
      <c r="B190" s="5">
        <v>688921.35143886087</v>
      </c>
      <c r="C190" s="5">
        <v>-11824.641438860912</v>
      </c>
    </row>
    <row r="191" spans="1:3">
      <c r="A191" s="5">
        <v>163</v>
      </c>
      <c r="B191" s="5">
        <v>696146.6857642415</v>
      </c>
      <c r="C191" s="5">
        <v>-4138.045764241484</v>
      </c>
    </row>
    <row r="192" spans="1:3">
      <c r="A192" s="5">
        <v>164</v>
      </c>
      <c r="B192" s="5">
        <v>781341.18008327845</v>
      </c>
      <c r="C192" s="5">
        <v>44456.729916721582</v>
      </c>
    </row>
    <row r="193" spans="1:3">
      <c r="A193" s="5">
        <v>165</v>
      </c>
      <c r="B193" s="5">
        <v>727490.13733970502</v>
      </c>
      <c r="C193" s="5">
        <v>-21204.617339705001</v>
      </c>
    </row>
    <row r="194" spans="1:3">
      <c r="A194" s="5">
        <v>166</v>
      </c>
      <c r="B194" s="5">
        <v>669031.80817830167</v>
      </c>
      <c r="C194" s="5">
        <v>-3497.1081783017144</v>
      </c>
    </row>
    <row r="195" spans="1:3">
      <c r="A195" s="5">
        <v>167</v>
      </c>
      <c r="B195" s="5">
        <v>809035.01747596834</v>
      </c>
      <c r="C195" s="5">
        <v>11694.272524031694</v>
      </c>
    </row>
    <row r="196" spans="1:3">
      <c r="A196" s="5">
        <v>168</v>
      </c>
      <c r="B196" s="5">
        <v>789502.99630602193</v>
      </c>
      <c r="C196" s="5">
        <v>-49671.266306021949</v>
      </c>
    </row>
    <row r="197" spans="1:3">
      <c r="A197" s="5">
        <v>169</v>
      </c>
      <c r="B197" s="5">
        <v>686055.17735730472</v>
      </c>
      <c r="C197" s="5">
        <v>-92418.037357304711</v>
      </c>
    </row>
    <row r="198" spans="1:3">
      <c r="A198" s="5">
        <v>170</v>
      </c>
      <c r="B198" s="5">
        <v>754715.1142446294</v>
      </c>
      <c r="C198" s="5">
        <v>14987.645755370613</v>
      </c>
    </row>
    <row r="199" spans="1:3">
      <c r="A199" s="5">
        <v>171</v>
      </c>
      <c r="B199" s="5">
        <v>704071.39222730079</v>
      </c>
      <c r="C199" s="5">
        <v>-24339.822227300843</v>
      </c>
    </row>
    <row r="200" spans="1:3">
      <c r="A200" s="5">
        <v>172</v>
      </c>
      <c r="B200" s="5">
        <v>776356.87937799713</v>
      </c>
      <c r="C200" s="5">
        <v>3987.3006220029201</v>
      </c>
    </row>
    <row r="201" spans="1:3">
      <c r="A201" s="5">
        <v>173</v>
      </c>
      <c r="B201" s="5">
        <v>757757.90830983478</v>
      </c>
      <c r="C201" s="5">
        <v>-36393.79830983479</v>
      </c>
    </row>
    <row r="202" spans="1:3">
      <c r="A202" s="5">
        <v>174</v>
      </c>
      <c r="B202" s="5">
        <v>789026.6395977413</v>
      </c>
      <c r="C202" s="5">
        <v>-30888.349597741268</v>
      </c>
    </row>
    <row r="203" spans="1:3">
      <c r="A203" s="5">
        <v>175</v>
      </c>
      <c r="B203" s="5">
        <v>826391.22382317192</v>
      </c>
      <c r="C203" s="5">
        <v>-22127.223823171924</v>
      </c>
    </row>
    <row r="204" spans="1:3">
      <c r="A204" s="5">
        <v>176</v>
      </c>
      <c r="B204" s="5">
        <v>853971.09784927359</v>
      </c>
      <c r="C204" s="5">
        <v>33566.652150726411</v>
      </c>
    </row>
    <row r="205" spans="1:3">
      <c r="A205" s="5">
        <v>177</v>
      </c>
      <c r="B205" s="5">
        <v>703050.29725442687</v>
      </c>
      <c r="C205" s="5">
        <v>80531.70274557313</v>
      </c>
    </row>
    <row r="206" spans="1:3">
      <c r="A206" s="5">
        <v>178</v>
      </c>
      <c r="B206" s="5">
        <v>736891.00660967187</v>
      </c>
      <c r="C206" s="5">
        <v>45064.513390328153</v>
      </c>
    </row>
    <row r="207" spans="1:3">
      <c r="A207" s="5">
        <v>179</v>
      </c>
      <c r="B207" s="5">
        <v>824870.01645121712</v>
      </c>
      <c r="C207" s="5">
        <v>73161.02354878292</v>
      </c>
    </row>
    <row r="208" spans="1:3">
      <c r="A208" s="5">
        <v>180</v>
      </c>
      <c r="B208" s="5">
        <v>853638.92384572257</v>
      </c>
      <c r="C208" s="5">
        <v>1702.3561542774551</v>
      </c>
    </row>
    <row r="209" spans="1:3">
      <c r="A209" s="5">
        <v>181</v>
      </c>
      <c r="B209" s="5">
        <v>750770.45102327631</v>
      </c>
      <c r="C209" s="5">
        <v>623.42897672369145</v>
      </c>
    </row>
    <row r="210" spans="1:3">
      <c r="A210" s="5">
        <v>182</v>
      </c>
      <c r="B210" s="5">
        <v>763987.64214830496</v>
      </c>
      <c r="C210" s="5">
        <v>-2910.5621483050054</v>
      </c>
    </row>
    <row r="211" spans="1:3">
      <c r="A211" s="5">
        <v>183</v>
      </c>
      <c r="B211" s="5">
        <v>820721.66346315492</v>
      </c>
      <c r="C211" s="5">
        <v>-1061.0734631549567</v>
      </c>
    </row>
    <row r="212" spans="1:3">
      <c r="A212" s="5">
        <v>184</v>
      </c>
      <c r="B212" s="5">
        <v>703945.31687202409</v>
      </c>
      <c r="C212" s="5">
        <v>-22089.756872024038</v>
      </c>
    </row>
    <row r="213" spans="1:3">
      <c r="A213" s="5">
        <v>185</v>
      </c>
      <c r="B213" s="5">
        <v>663345.03107692569</v>
      </c>
      <c r="C213" s="5">
        <v>14966.138923074352</v>
      </c>
    </row>
    <row r="214" spans="1:3">
      <c r="A214" s="5">
        <v>186</v>
      </c>
      <c r="B214" s="5">
        <v>704351.83174468856</v>
      </c>
      <c r="C214" s="5">
        <v>61555.11825531139</v>
      </c>
    </row>
    <row r="215" spans="1:3">
      <c r="A215" s="5">
        <v>187</v>
      </c>
      <c r="B215" s="5">
        <v>710718.2275118347</v>
      </c>
      <c r="C215" s="5">
        <v>1828.1524881653022</v>
      </c>
    </row>
    <row r="216" spans="1:3">
      <c r="A216" s="5">
        <v>188</v>
      </c>
      <c r="B216" s="5">
        <v>591981.61527247832</v>
      </c>
      <c r="C216" s="5">
        <v>34012.214727521641</v>
      </c>
    </row>
    <row r="217" spans="1:3">
      <c r="A217" s="5">
        <v>189</v>
      </c>
      <c r="B217" s="5">
        <v>543739.21844125784</v>
      </c>
      <c r="C217" s="5">
        <v>7223.7115587422159</v>
      </c>
    </row>
    <row r="218" spans="1:3">
      <c r="A218" s="5">
        <v>190</v>
      </c>
      <c r="B218" s="5">
        <v>465860.91586728703</v>
      </c>
      <c r="C218" s="5">
        <v>-22585.325867287</v>
      </c>
    </row>
    <row r="219" spans="1:3">
      <c r="A219" s="5">
        <v>191</v>
      </c>
      <c r="B219" s="5">
        <v>612910.32729551813</v>
      </c>
      <c r="C219" s="5">
        <v>-58898.257295518182</v>
      </c>
    </row>
    <row r="220" spans="1:3">
      <c r="A220" s="5">
        <v>192</v>
      </c>
      <c r="B220" s="5">
        <v>689437.58425732586</v>
      </c>
      <c r="C220" s="5">
        <v>-46008.734257325879</v>
      </c>
    </row>
    <row r="221" spans="1:3">
      <c r="A221" s="5">
        <v>193</v>
      </c>
      <c r="B221" s="5">
        <v>619781.5456533666</v>
      </c>
      <c r="C221" s="5">
        <v>-7857.2756533665815</v>
      </c>
    </row>
    <row r="222" spans="1:3">
      <c r="A222" s="5">
        <v>194</v>
      </c>
      <c r="B222" s="5">
        <v>560191.82015696028</v>
      </c>
      <c r="C222" s="5">
        <v>-769.80015696026385</v>
      </c>
    </row>
    <row r="223" spans="1:3">
      <c r="A223" s="5">
        <v>195</v>
      </c>
      <c r="B223" s="5">
        <v>538838.81968994613</v>
      </c>
      <c r="C223" s="5">
        <v>-89373.759689946135</v>
      </c>
    </row>
    <row r="224" spans="1:3">
      <c r="A224" s="5">
        <v>196</v>
      </c>
      <c r="B224" s="5">
        <v>652124.19521549763</v>
      </c>
      <c r="C224" s="5">
        <v>39323.23478450242</v>
      </c>
    </row>
    <row r="225" spans="1:3">
      <c r="A225" s="5">
        <v>197</v>
      </c>
      <c r="B225" s="5">
        <v>617450.02845026774</v>
      </c>
      <c r="C225" s="5">
        <v>-43383.418450267753</v>
      </c>
    </row>
    <row r="226" spans="1:3">
      <c r="A226" s="5">
        <v>198</v>
      </c>
      <c r="B226" s="5">
        <v>623359.83509529638</v>
      </c>
      <c r="C226" s="5">
        <v>-44409.995095296414</v>
      </c>
    </row>
    <row r="227" spans="1:3">
      <c r="A227" s="5">
        <v>199</v>
      </c>
      <c r="B227" s="5">
        <v>667541.12441982154</v>
      </c>
      <c r="C227" s="5">
        <v>68245.515580178471</v>
      </c>
    </row>
    <row r="228" spans="1:3">
      <c r="A228" s="5">
        <v>200</v>
      </c>
      <c r="B228" s="5">
        <v>614730.23151356541</v>
      </c>
      <c r="C228" s="5">
        <v>-15825.331513565383</v>
      </c>
    </row>
    <row r="229" spans="1:3">
      <c r="A229" s="5">
        <v>201</v>
      </c>
      <c r="B229" s="5">
        <v>697329.80336737901</v>
      </c>
      <c r="C229" s="5">
        <v>90385.706632621004</v>
      </c>
    </row>
    <row r="230" spans="1:3">
      <c r="A230" s="5">
        <v>202</v>
      </c>
      <c r="B230" s="5">
        <v>656279.6161078132</v>
      </c>
      <c r="C230" s="5">
        <v>-49194.696107813157</v>
      </c>
    </row>
    <row r="231" spans="1:3">
      <c r="A231" s="5">
        <v>203</v>
      </c>
      <c r="B231" s="5">
        <v>673513.64577435399</v>
      </c>
      <c r="C231" s="5">
        <v>-22718.155774354003</v>
      </c>
    </row>
    <row r="232" spans="1:3">
      <c r="A232" s="5">
        <v>204</v>
      </c>
      <c r="B232" s="5">
        <v>837220.17747289024</v>
      </c>
      <c r="C232" s="5">
        <v>-12159.65747289022</v>
      </c>
    </row>
    <row r="233" spans="1:3">
      <c r="A233" s="5">
        <v>205</v>
      </c>
      <c r="B233" s="5">
        <v>737297.5391032811</v>
      </c>
      <c r="C233" s="5">
        <v>58166.93089671887</v>
      </c>
    </row>
    <row r="234" spans="1:3">
      <c r="A234" s="5">
        <v>206</v>
      </c>
      <c r="B234" s="5">
        <v>733739.72565304092</v>
      </c>
      <c r="C234" s="5">
        <v>-61871.135653040954</v>
      </c>
    </row>
    <row r="235" spans="1:3">
      <c r="A235" s="5">
        <v>207</v>
      </c>
      <c r="B235" s="5">
        <v>752851.58177388285</v>
      </c>
      <c r="C235" s="5">
        <v>-76933.951773882844</v>
      </c>
    </row>
    <row r="236" spans="1:3">
      <c r="A236" s="5">
        <v>208</v>
      </c>
      <c r="B236" s="5">
        <v>803729.03017271834</v>
      </c>
      <c r="C236" s="5">
        <v>6717.4998272816883</v>
      </c>
    </row>
    <row r="237" spans="1:3">
      <c r="A237" s="5">
        <v>209</v>
      </c>
      <c r="B237" s="5">
        <v>770256.59972515411</v>
      </c>
      <c r="C237" s="5">
        <v>-78968.409725154168</v>
      </c>
    </row>
    <row r="238" spans="1:3">
      <c r="A238" s="5">
        <v>210</v>
      </c>
      <c r="B238" s="5">
        <v>963485.32200691721</v>
      </c>
      <c r="C238" s="5">
        <v>-16651.782006917172</v>
      </c>
    </row>
    <row r="239" spans="1:3">
      <c r="A239" s="5">
        <v>211</v>
      </c>
      <c r="B239" s="5">
        <v>778501.75121104077</v>
      </c>
      <c r="C239" s="5">
        <v>-16538.521211040788</v>
      </c>
    </row>
    <row r="240" spans="1:3">
      <c r="A240" s="5">
        <v>212</v>
      </c>
      <c r="B240" s="5">
        <v>781861.12010494608</v>
      </c>
      <c r="C240" s="5">
        <v>30291.479895053897</v>
      </c>
    </row>
    <row r="241" spans="1:3">
      <c r="A241" s="5">
        <v>213</v>
      </c>
      <c r="B241" s="5">
        <v>770609.33894940244</v>
      </c>
      <c r="C241" s="5">
        <v>34366.161050597555</v>
      </c>
    </row>
    <row r="242" spans="1:3">
      <c r="A242" s="5">
        <v>214</v>
      </c>
      <c r="B242" s="5">
        <v>767175.04832585854</v>
      </c>
      <c r="C242" s="5">
        <v>-14853.328325858572</v>
      </c>
    </row>
    <row r="243" spans="1:3">
      <c r="A243" s="5">
        <v>215</v>
      </c>
      <c r="B243" s="5">
        <v>838352.3784184088</v>
      </c>
      <c r="C243" s="5">
        <v>-1444.1384184088092</v>
      </c>
    </row>
    <row r="244" spans="1:3">
      <c r="A244" s="5">
        <v>216</v>
      </c>
      <c r="B244" s="5">
        <v>634369.80962704076</v>
      </c>
      <c r="C244" s="5">
        <v>39919.290372959222</v>
      </c>
    </row>
    <row r="245" spans="1:3">
      <c r="A245" s="5">
        <v>217</v>
      </c>
      <c r="B245" s="5">
        <v>618883.93576717272</v>
      </c>
      <c r="C245" s="5">
        <v>4008.4842328273226</v>
      </c>
    </row>
    <row r="246" spans="1:3">
      <c r="A246" s="5">
        <v>218</v>
      </c>
      <c r="B246" s="5">
        <v>617449.78385793313</v>
      </c>
      <c r="C246" s="5">
        <v>55898.776142066927</v>
      </c>
    </row>
    <row r="247" spans="1:3">
      <c r="A247" s="5">
        <v>219</v>
      </c>
      <c r="B247" s="5">
        <v>591208.70558887662</v>
      </c>
      <c r="C247" s="5">
        <v>15069.594411123428</v>
      </c>
    </row>
    <row r="248" spans="1:3">
      <c r="A248" s="5">
        <v>220</v>
      </c>
      <c r="B248" s="5">
        <v>707289.52859710029</v>
      </c>
      <c r="C248" s="5">
        <v>4930.2814028997673</v>
      </c>
    </row>
    <row r="249" spans="1:3">
      <c r="A249" s="5">
        <v>221</v>
      </c>
      <c r="B249" s="5">
        <v>674478.65894704277</v>
      </c>
      <c r="C249" s="5">
        <v>-1808.1189470427344</v>
      </c>
    </row>
    <row r="250" spans="1:3">
      <c r="A250" s="5">
        <v>222</v>
      </c>
      <c r="B250" s="5">
        <v>737651.45555998548</v>
      </c>
      <c r="C250" s="5">
        <v>-4983.5355599854374</v>
      </c>
    </row>
    <row r="251" spans="1:3">
      <c r="A251" s="5">
        <v>223</v>
      </c>
      <c r="B251" s="5">
        <v>761423.97276467399</v>
      </c>
      <c r="C251" s="5">
        <v>-37892.572764673969</v>
      </c>
    </row>
    <row r="252" spans="1:3">
      <c r="A252" s="5">
        <v>224</v>
      </c>
      <c r="B252" s="5">
        <v>606154.80204193923</v>
      </c>
      <c r="C252" s="5">
        <v>35409.79795806075</v>
      </c>
    </row>
    <row r="253" spans="1:3">
      <c r="A253" s="5">
        <v>225</v>
      </c>
      <c r="B253" s="5">
        <v>524886.41753861378</v>
      </c>
      <c r="C253" s="5">
        <v>11659.072461386211</v>
      </c>
    </row>
    <row r="254" spans="1:3">
      <c r="A254" s="5">
        <v>226</v>
      </c>
      <c r="B254" s="5">
        <v>552368.13732783031</v>
      </c>
      <c r="C254" s="5">
        <v>-24686.577327830251</v>
      </c>
    </row>
    <row r="255" spans="1:3">
      <c r="A255" s="5">
        <v>227</v>
      </c>
      <c r="B255" s="5">
        <v>504433.75253233139</v>
      </c>
      <c r="C255" s="5">
        <v>25165.187467668555</v>
      </c>
    </row>
    <row r="256" spans="1:3">
      <c r="A256" s="5">
        <v>228</v>
      </c>
      <c r="B256" s="5">
        <v>629305.8837043168</v>
      </c>
      <c r="C256" s="5">
        <v>-58342.573704316746</v>
      </c>
    </row>
    <row r="257" spans="1:3">
      <c r="A257" s="5">
        <v>229</v>
      </c>
      <c r="B257" s="5">
        <v>825250.71293576434</v>
      </c>
      <c r="C257" s="5">
        <v>45686.687064235681</v>
      </c>
    </row>
    <row r="258" spans="1:3">
      <c r="A258" s="5">
        <v>230</v>
      </c>
      <c r="B258" s="5">
        <v>640927.14112007967</v>
      </c>
      <c r="C258" s="5">
        <v>-43957.871120079653</v>
      </c>
    </row>
    <row r="259" spans="1:3">
      <c r="A259" s="5">
        <v>231</v>
      </c>
      <c r="B259" s="5">
        <v>625214.71295152768</v>
      </c>
      <c r="C259" s="5">
        <v>22298.137048472301</v>
      </c>
    </row>
    <row r="260" spans="1:3">
      <c r="A260" s="5">
        <v>232</v>
      </c>
      <c r="B260" s="5">
        <v>616444.47620178806</v>
      </c>
      <c r="C260" s="5">
        <v>41627.663798211957</v>
      </c>
    </row>
    <row r="261" spans="1:3">
      <c r="A261" s="5">
        <v>233</v>
      </c>
      <c r="B261" s="5">
        <v>648551.68365780171</v>
      </c>
      <c r="C261" s="5">
        <v>74753.426342198276</v>
      </c>
    </row>
    <row r="262" spans="1:3">
      <c r="A262" s="5">
        <v>234</v>
      </c>
      <c r="B262" s="5">
        <v>636982.78861028072</v>
      </c>
      <c r="C262" s="5">
        <v>3683.7413897193037</v>
      </c>
    </row>
    <row r="263" spans="1:3">
      <c r="A263" s="5">
        <v>235</v>
      </c>
      <c r="B263" s="5">
        <v>670635.54977400717</v>
      </c>
      <c r="C263" s="5">
        <v>-6.0697740071918815</v>
      </c>
    </row>
    <row r="264" spans="1:3">
      <c r="A264" s="5">
        <v>236</v>
      </c>
      <c r="B264" s="5">
        <v>783092.72339338611</v>
      </c>
      <c r="C264" s="5">
        <v>-62013.373393386137</v>
      </c>
    </row>
    <row r="265" spans="1:3">
      <c r="A265" s="5">
        <v>237</v>
      </c>
      <c r="B265" s="5">
        <v>813689.66577004734</v>
      </c>
      <c r="C265" s="5">
        <v>-3334.6457700473256</v>
      </c>
    </row>
    <row r="266" spans="1:3">
      <c r="A266" s="5">
        <v>238</v>
      </c>
      <c r="B266" s="5">
        <v>761184.32204109582</v>
      </c>
      <c r="C266" s="5">
        <v>734.92795890418347</v>
      </c>
    </row>
    <row r="267" spans="1:3">
      <c r="A267" s="5">
        <v>239</v>
      </c>
      <c r="B267" s="5">
        <v>718027.80791499291</v>
      </c>
      <c r="C267" s="5">
        <v>19042.37208500714</v>
      </c>
    </row>
    <row r="268" spans="1:3">
      <c r="A268" s="5">
        <v>240</v>
      </c>
      <c r="B268" s="5">
        <v>728936.00848442374</v>
      </c>
      <c r="C268" s="5">
        <v>48056.921515576309</v>
      </c>
    </row>
    <row r="269" spans="1:3">
      <c r="A269" s="5">
        <v>241</v>
      </c>
      <c r="B269" s="5">
        <v>633919.15787751868</v>
      </c>
      <c r="C269" s="5">
        <v>42418.252122481354</v>
      </c>
    </row>
    <row r="270" spans="1:3">
      <c r="A270" s="5">
        <v>242</v>
      </c>
      <c r="B270" s="5">
        <v>802354.45886678679</v>
      </c>
      <c r="C270" s="5">
        <v>25865.211133213248</v>
      </c>
    </row>
    <row r="271" spans="1:3">
      <c r="A271" s="5">
        <v>243</v>
      </c>
      <c r="B271" s="5">
        <v>736629.36075038905</v>
      </c>
      <c r="C271" s="5">
        <v>26530.559249610989</v>
      </c>
    </row>
    <row r="272" spans="1:3">
      <c r="A272" s="5">
        <v>244</v>
      </c>
      <c r="B272" s="5">
        <v>785942.02145665255</v>
      </c>
      <c r="C272" s="5">
        <v>16059.658543347497</v>
      </c>
    </row>
    <row r="273" spans="1:3">
      <c r="A273" s="5">
        <v>245</v>
      </c>
      <c r="B273" s="5">
        <v>743516.48669097119</v>
      </c>
      <c r="C273" s="5">
        <v>6954.853309028782</v>
      </c>
    </row>
    <row r="274" spans="1:3">
      <c r="A274" s="5">
        <v>246</v>
      </c>
      <c r="B274" s="5">
        <v>711064.97207105393</v>
      </c>
      <c r="C274" s="5">
        <v>-31834.11207105394</v>
      </c>
    </row>
    <row r="275" spans="1:3">
      <c r="A275" s="5">
        <v>247</v>
      </c>
      <c r="B275" s="5">
        <v>691444.18526233186</v>
      </c>
      <c r="C275" s="5">
        <v>-11555.445262331865</v>
      </c>
    </row>
    <row r="276" spans="1:3">
      <c r="A276" s="5">
        <v>248</v>
      </c>
      <c r="B276" s="5">
        <v>592820.31826306926</v>
      </c>
      <c r="C276" s="5">
        <v>13963.351736930781</v>
      </c>
    </row>
    <row r="277" spans="1:3">
      <c r="A277" s="5">
        <v>249</v>
      </c>
      <c r="B277" s="5">
        <v>651350.82401812437</v>
      </c>
      <c r="C277" s="5">
        <v>-8599.4040181243327</v>
      </c>
    </row>
    <row r="278" spans="1:3">
      <c r="A278" s="5">
        <v>250</v>
      </c>
      <c r="B278" s="5">
        <v>652261.80209210911</v>
      </c>
      <c r="C278" s="5">
        <v>-4308.0220921090804</v>
      </c>
    </row>
    <row r="279" spans="1:3">
      <c r="A279" s="5">
        <v>251</v>
      </c>
      <c r="B279" s="5">
        <v>713694.95571757271</v>
      </c>
      <c r="C279" s="5">
        <v>15745.494282427244</v>
      </c>
    </row>
    <row r="280" spans="1:3">
      <c r="A280" s="5">
        <v>252</v>
      </c>
      <c r="B280" s="5">
        <v>747432.05078320333</v>
      </c>
      <c r="C280" s="5">
        <v>17516.949216796667</v>
      </c>
    </row>
    <row r="281" spans="1:3">
      <c r="A281" s="5">
        <v>253</v>
      </c>
      <c r="B281" s="5">
        <v>695296.2102438272</v>
      </c>
      <c r="C281" s="5">
        <v>103750.72975617275</v>
      </c>
    </row>
    <row r="282" spans="1:3">
      <c r="A282" s="5">
        <v>254</v>
      </c>
      <c r="B282" s="5">
        <v>667858.95634795655</v>
      </c>
      <c r="C282" s="5">
        <v>52220.583652043482</v>
      </c>
    </row>
    <row r="283" spans="1:3">
      <c r="A283" s="5">
        <v>255</v>
      </c>
      <c r="B283" s="5">
        <v>632438.54225722782</v>
      </c>
      <c r="C283" s="5">
        <v>-20048.402257227805</v>
      </c>
    </row>
    <row r="284" spans="1:3">
      <c r="A284" s="5">
        <v>256</v>
      </c>
      <c r="B284" s="5">
        <v>748186.02943488257</v>
      </c>
      <c r="C284" s="5">
        <v>91922.090565117425</v>
      </c>
    </row>
    <row r="285" spans="1:3">
      <c r="A285" s="5">
        <v>257</v>
      </c>
      <c r="B285" s="5">
        <v>672750.35012158996</v>
      </c>
      <c r="C285" s="5">
        <v>25137.739878410008</v>
      </c>
    </row>
    <row r="286" spans="1:3">
      <c r="A286" s="5">
        <v>258</v>
      </c>
      <c r="B286" s="5">
        <v>739031.7900304643</v>
      </c>
      <c r="C286" s="5">
        <v>7083.7999695356702</v>
      </c>
    </row>
    <row r="287" spans="1:3">
      <c r="A287" s="5">
        <v>259</v>
      </c>
      <c r="B287" s="5">
        <v>710397.59752492141</v>
      </c>
      <c r="C287" s="5">
        <v>65712.722475078539</v>
      </c>
    </row>
    <row r="288" spans="1:3">
      <c r="A288" s="5">
        <v>260</v>
      </c>
      <c r="B288" s="5">
        <v>520565.1643780435</v>
      </c>
      <c r="C288" s="5">
        <v>8287.4556219564984</v>
      </c>
    </row>
    <row r="289" spans="1:3">
      <c r="A289" s="5">
        <v>261</v>
      </c>
      <c r="B289" s="5">
        <v>604968.49640903401</v>
      </c>
      <c r="C289" s="5">
        <v>782.83359096595086</v>
      </c>
    </row>
    <row r="290" spans="1:3">
      <c r="A290" s="5">
        <v>262</v>
      </c>
      <c r="B290" s="5">
        <v>608281.67129935219</v>
      </c>
      <c r="C290" s="5">
        <v>69358.978700647829</v>
      </c>
    </row>
    <row r="291" spans="1:3">
      <c r="A291" s="5">
        <v>263</v>
      </c>
      <c r="B291" s="5">
        <v>611291.0956286845</v>
      </c>
      <c r="C291" s="5">
        <v>25322.134371315478</v>
      </c>
    </row>
    <row r="292" spans="1:3">
      <c r="A292" s="5">
        <v>264</v>
      </c>
      <c r="B292" s="5">
        <v>727097.08797662694</v>
      </c>
      <c r="C292" s="5">
        <v>-18111.897976626991</v>
      </c>
    </row>
    <row r="293" spans="1:3">
      <c r="A293" s="5">
        <v>265</v>
      </c>
      <c r="B293" s="5">
        <v>742902.6814849386</v>
      </c>
      <c r="C293" s="5">
        <v>24890.258515061345</v>
      </c>
    </row>
    <row r="294" spans="1:3">
      <c r="A294" s="5">
        <v>266</v>
      </c>
      <c r="B294" s="5">
        <v>726361.88653710671</v>
      </c>
      <c r="C294" s="5">
        <v>19218.623462893302</v>
      </c>
    </row>
    <row r="295" spans="1:3">
      <c r="A295" s="5">
        <v>267</v>
      </c>
      <c r="B295" s="5">
        <v>726267.71756997646</v>
      </c>
      <c r="C295" s="5">
        <v>36060.592430023593</v>
      </c>
    </row>
    <row r="296" spans="1:3">
      <c r="A296" s="5">
        <v>268</v>
      </c>
      <c r="B296" s="5">
        <v>737935.182531778</v>
      </c>
      <c r="C296" s="5">
        <v>-77301.192531778011</v>
      </c>
    </row>
    <row r="297" spans="1:3">
      <c r="A297" s="5">
        <v>269</v>
      </c>
      <c r="B297" s="5">
        <v>688892.71534593159</v>
      </c>
      <c r="C297" s="5">
        <v>50481.844654068467</v>
      </c>
    </row>
    <row r="298" spans="1:3">
      <c r="A298" s="5">
        <v>270</v>
      </c>
      <c r="B298" s="5">
        <v>807040.99192159274</v>
      </c>
      <c r="C298" s="5">
        <v>-7284.5319215927739</v>
      </c>
    </row>
    <row r="299" spans="1:3">
      <c r="A299" s="5">
        <v>271</v>
      </c>
      <c r="B299" s="5">
        <v>664742.93323205237</v>
      </c>
      <c r="C299" s="5">
        <v>-71399.933232052368</v>
      </c>
    </row>
    <row r="300" spans="1:3">
      <c r="A300" s="5">
        <v>272</v>
      </c>
      <c r="B300" s="5">
        <v>629915.18337490095</v>
      </c>
      <c r="C300" s="5">
        <v>15124.786625099019</v>
      </c>
    </row>
    <row r="301" spans="1:3">
      <c r="A301" s="5">
        <v>273</v>
      </c>
      <c r="B301" s="5">
        <v>515726.10993253894</v>
      </c>
      <c r="C301" s="5">
        <v>45871.220067461021</v>
      </c>
    </row>
    <row r="302" spans="1:3">
      <c r="A302" s="5">
        <v>274</v>
      </c>
      <c r="B302" s="5">
        <v>639227.99467569718</v>
      </c>
      <c r="C302" s="5">
        <v>-3390.254675697186</v>
      </c>
    </row>
    <row r="303" spans="1:3">
      <c r="A303" s="5">
        <v>275</v>
      </c>
      <c r="B303" s="5">
        <v>595788.39461083128</v>
      </c>
      <c r="C303" s="5">
        <v>90949.475389168714</v>
      </c>
    </row>
    <row r="304" spans="1:3">
      <c r="A304" s="5">
        <v>276</v>
      </c>
      <c r="B304" s="5">
        <v>746929.8448884578</v>
      </c>
      <c r="C304" s="5">
        <v>-73853.504888457828</v>
      </c>
    </row>
    <row r="305" spans="1:3">
      <c r="A305" s="5">
        <v>277</v>
      </c>
      <c r="B305" s="5">
        <v>708120.07340402342</v>
      </c>
      <c r="C305" s="5">
        <v>30428.346595976618</v>
      </c>
    </row>
    <row r="306" spans="1:3">
      <c r="A306" s="5">
        <v>278</v>
      </c>
      <c r="B306" s="5">
        <v>759518.80475131061</v>
      </c>
      <c r="C306" s="5">
        <v>-2899.0347513105953</v>
      </c>
    </row>
    <row r="307" spans="1:3">
      <c r="A307" s="5">
        <v>279</v>
      </c>
      <c r="B307" s="5">
        <v>777509.18997618463</v>
      </c>
      <c r="C307" s="5">
        <v>-16386.769976184587</v>
      </c>
    </row>
    <row r="308" spans="1:3">
      <c r="A308" s="5">
        <v>280</v>
      </c>
      <c r="B308" s="5">
        <v>565693.87421117269</v>
      </c>
      <c r="C308" s="5">
        <v>-40794.304211172741</v>
      </c>
    </row>
    <row r="309" spans="1:3">
      <c r="A309" s="5">
        <v>281</v>
      </c>
      <c r="B309" s="5">
        <v>579956.72374757635</v>
      </c>
      <c r="C309" s="5">
        <v>-24398.953747576335</v>
      </c>
    </row>
    <row r="310" spans="1:3">
      <c r="A310" s="5">
        <v>282</v>
      </c>
      <c r="B310" s="5">
        <v>687415.53405588912</v>
      </c>
      <c r="C310" s="5">
        <v>26668.145944110933</v>
      </c>
    </row>
    <row r="311" spans="1:3">
      <c r="A311" s="5">
        <v>283</v>
      </c>
      <c r="B311" s="5">
        <v>497428.13325280807</v>
      </c>
      <c r="C311" s="5">
        <v>11.686747191939503</v>
      </c>
    </row>
    <row r="312" spans="1:3">
      <c r="A312" s="5">
        <v>284</v>
      </c>
      <c r="B312" s="5">
        <v>651754.78224449011</v>
      </c>
      <c r="C312" s="5">
        <v>-14979.122244490078</v>
      </c>
    </row>
    <row r="313" spans="1:3">
      <c r="A313" s="5">
        <v>285</v>
      </c>
      <c r="B313" s="5">
        <v>644460.92588883964</v>
      </c>
      <c r="C313" s="5">
        <v>-11451.395888839616</v>
      </c>
    </row>
    <row r="314" spans="1:3">
      <c r="A314" s="5">
        <v>286</v>
      </c>
      <c r="B314" s="5">
        <v>612066.08511143189</v>
      </c>
      <c r="C314" s="5">
        <v>-2117.0851114318939</v>
      </c>
    </row>
    <row r="315" spans="1:3">
      <c r="A315" s="5">
        <v>287</v>
      </c>
      <c r="B315" s="5">
        <v>570867.28199517436</v>
      </c>
      <c r="C315" s="5">
        <v>-22763.581995174405</v>
      </c>
    </row>
    <row r="316" spans="1:3">
      <c r="A316" s="5">
        <v>288</v>
      </c>
      <c r="B316" s="5">
        <v>715030.90701464575</v>
      </c>
      <c r="C316" s="5">
        <v>14393.512985354289</v>
      </c>
    </row>
    <row r="317" spans="1:3">
      <c r="A317" s="5">
        <v>289</v>
      </c>
      <c r="B317" s="5">
        <v>740326.91084702988</v>
      </c>
      <c r="C317" s="5">
        <v>-44065.420847029891</v>
      </c>
    </row>
    <row r="318" spans="1:3">
      <c r="A318" s="5">
        <v>290</v>
      </c>
      <c r="B318" s="5">
        <v>729175.19140021177</v>
      </c>
      <c r="C318" s="5">
        <v>84141.518599788193</v>
      </c>
    </row>
    <row r="319" spans="1:3">
      <c r="A319" s="5">
        <v>291</v>
      </c>
      <c r="B319" s="5">
        <v>722857.35874131927</v>
      </c>
      <c r="C319" s="5">
        <v>-20788.438741319231</v>
      </c>
    </row>
    <row r="320" spans="1:3">
      <c r="A320" s="5">
        <v>292</v>
      </c>
      <c r="B320" s="5">
        <v>584661.02337445831</v>
      </c>
      <c r="C320" s="5">
        <v>-38437.323374458356</v>
      </c>
    </row>
    <row r="321" spans="1:3">
      <c r="A321" s="5">
        <v>293</v>
      </c>
      <c r="B321" s="5">
        <v>523175.5623125878</v>
      </c>
      <c r="C321" s="5">
        <v>9945.6976874122047</v>
      </c>
    </row>
    <row r="322" spans="1:3">
      <c r="A322" s="5">
        <v>294</v>
      </c>
      <c r="B322" s="5">
        <v>502507.16857259767</v>
      </c>
      <c r="C322" s="5">
        <v>-3536.8485725976643</v>
      </c>
    </row>
    <row r="323" spans="1:3">
      <c r="A323" s="5">
        <v>295</v>
      </c>
      <c r="B323" s="5">
        <v>468299.77268810233</v>
      </c>
      <c r="C323" s="5">
        <v>19438.487311897683</v>
      </c>
    </row>
    <row r="324" spans="1:3">
      <c r="A324" s="5">
        <v>296</v>
      </c>
      <c r="B324" s="5">
        <v>664787.36517373601</v>
      </c>
      <c r="C324" s="5">
        <v>3672.0048262639903</v>
      </c>
    </row>
    <row r="325" spans="1:3">
      <c r="A325" s="5">
        <v>297</v>
      </c>
      <c r="B325" s="5">
        <v>673893.72362096526</v>
      </c>
      <c r="C325" s="5">
        <v>89268.726379034691</v>
      </c>
    </row>
    <row r="326" spans="1:3">
      <c r="A326" s="5">
        <v>298</v>
      </c>
      <c r="B326" s="5">
        <v>613586.47261577321</v>
      </c>
      <c r="C326" s="5">
        <v>-14569.142615773249</v>
      </c>
    </row>
    <row r="327" spans="1:3">
      <c r="A327" s="5">
        <v>299</v>
      </c>
      <c r="B327" s="5">
        <v>465316.98194346169</v>
      </c>
      <c r="C327" s="5">
        <v>-63734.401943461678</v>
      </c>
    </row>
    <row r="328" spans="1:3">
      <c r="A328" s="5">
        <v>300</v>
      </c>
      <c r="B328" s="5">
        <v>720766.70128287037</v>
      </c>
      <c r="C328" s="5">
        <v>-16953.711282870383</v>
      </c>
    </row>
    <row r="329" spans="1:3">
      <c r="A329" s="5">
        <v>301</v>
      </c>
      <c r="B329" s="5">
        <v>721324.10372516245</v>
      </c>
      <c r="C329" s="5">
        <v>3022.6262748375302</v>
      </c>
    </row>
    <row r="330" spans="1:3">
      <c r="A330" s="5">
        <v>302</v>
      </c>
      <c r="B330" s="5">
        <v>739550.94373689429</v>
      </c>
      <c r="C330" s="5">
        <v>-8660.9337368942797</v>
      </c>
    </row>
    <row r="331" spans="1:3">
      <c r="A331" s="5">
        <v>303</v>
      </c>
      <c r="B331" s="5">
        <v>723099.05409637268</v>
      </c>
      <c r="C331" s="5">
        <v>57481.895903627272</v>
      </c>
    </row>
    <row r="332" spans="1:3">
      <c r="A332" s="5">
        <v>304</v>
      </c>
      <c r="B332" s="5">
        <v>696999.10704044183</v>
      </c>
      <c r="C332" s="5">
        <v>30958.372959558154</v>
      </c>
    </row>
    <row r="333" spans="1:3">
      <c r="A333" s="5">
        <v>305</v>
      </c>
      <c r="B333" s="5">
        <v>637581.02040754515</v>
      </c>
      <c r="C333" s="5">
        <v>-99205.020407545147</v>
      </c>
    </row>
    <row r="334" spans="1:3">
      <c r="A334" s="5">
        <v>306</v>
      </c>
      <c r="B334" s="5">
        <v>622046.05214341346</v>
      </c>
      <c r="C334" s="5">
        <v>43296.437856586534</v>
      </c>
    </row>
    <row r="335" spans="1:3">
      <c r="A335" s="5">
        <v>307</v>
      </c>
      <c r="B335" s="5">
        <v>707137.41087939136</v>
      </c>
      <c r="C335" s="5">
        <v>-55973.230879391311</v>
      </c>
    </row>
    <row r="336" spans="1:3">
      <c r="A336" s="5">
        <v>308</v>
      </c>
      <c r="B336" s="5">
        <v>642669.73738032789</v>
      </c>
      <c r="C336" s="5">
        <v>-14131.437380327843</v>
      </c>
    </row>
    <row r="337" spans="1:3">
      <c r="A337" s="5">
        <v>309</v>
      </c>
      <c r="B337" s="5">
        <v>577491.1949055338</v>
      </c>
      <c r="C337" s="5">
        <v>-40966.354905533837</v>
      </c>
    </row>
    <row r="338" spans="1:3">
      <c r="A338" s="5">
        <v>310</v>
      </c>
      <c r="B338" s="5">
        <v>635532.91274450568</v>
      </c>
      <c r="C338" s="5">
        <v>-13855.612744505634</v>
      </c>
    </row>
    <row r="339" spans="1:3">
      <c r="A339" s="5">
        <v>311</v>
      </c>
      <c r="B339" s="5">
        <v>749330.95846677129</v>
      </c>
      <c r="C339" s="5">
        <v>21798.111533228657</v>
      </c>
    </row>
    <row r="340" spans="1:3">
      <c r="A340" s="5">
        <v>312</v>
      </c>
      <c r="B340" s="5">
        <v>680731.01755949052</v>
      </c>
      <c r="C340" s="5">
        <v>21321.452440509456</v>
      </c>
    </row>
    <row r="341" spans="1:3">
      <c r="A341" s="5">
        <v>313</v>
      </c>
      <c r="B341" s="5">
        <v>735991.6795380367</v>
      </c>
      <c r="C341" s="5">
        <v>-47623.219538036734</v>
      </c>
    </row>
    <row r="342" spans="1:3">
      <c r="A342" s="5">
        <v>314</v>
      </c>
      <c r="B342" s="5">
        <v>697677.34552639618</v>
      </c>
      <c r="C342" s="5">
        <v>14698.424473603838</v>
      </c>
    </row>
    <row r="343" spans="1:3">
      <c r="A343" s="5">
        <v>315</v>
      </c>
      <c r="B343" s="5">
        <v>829595.9102914267</v>
      </c>
      <c r="C343" s="5">
        <v>15114.759708573343</v>
      </c>
    </row>
    <row r="344" spans="1:3">
      <c r="A344" s="5">
        <v>316</v>
      </c>
      <c r="B344" s="5">
        <v>687956.96098781587</v>
      </c>
      <c r="C344" s="5">
        <v>-67692.760987815913</v>
      </c>
    </row>
    <row r="345" spans="1:3">
      <c r="A345" s="5">
        <v>317</v>
      </c>
      <c r="B345" s="5">
        <v>535302.40402087395</v>
      </c>
      <c r="C345" s="5">
        <v>1543.0159791260958</v>
      </c>
    </row>
    <row r="346" spans="1:3">
      <c r="A346" s="5">
        <v>318</v>
      </c>
      <c r="B346" s="5">
        <v>746257.26801629993</v>
      </c>
      <c r="C346" s="5">
        <v>-19481.048016299959</v>
      </c>
    </row>
    <row r="347" spans="1:3" ht="15" thickBot="1">
      <c r="A347" s="6">
        <v>319</v>
      </c>
      <c r="B347" s="6">
        <v>609997.33716471726</v>
      </c>
      <c r="C347" s="6">
        <v>-50336.497164717293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6173-84C7-46E4-916A-4879D8BE79D8}">
  <dimension ref="A1:C323"/>
  <sheetViews>
    <sheetView workbookViewId="0">
      <selection activeCell="E10" sqref="E10"/>
    </sheetView>
  </sheetViews>
  <sheetFormatPr defaultRowHeight="14.25"/>
  <sheetData>
    <row r="1" spans="1:3">
      <c r="A1" s="12">
        <v>66</v>
      </c>
      <c r="B1" s="12">
        <v>835563.94375257334</v>
      </c>
      <c r="C1" s="12">
        <v>-150184.86375257338</v>
      </c>
    </row>
    <row r="2" spans="1:3">
      <c r="A2" s="12">
        <v>44</v>
      </c>
      <c r="B2" s="12">
        <v>723586.75536260451</v>
      </c>
      <c r="C2" s="12">
        <v>-128119.15536260454</v>
      </c>
    </row>
    <row r="3" spans="1:3" ht="15" thickBot="1">
      <c r="A3" s="12">
        <v>32</v>
      </c>
      <c r="B3" s="12">
        <v>764064.79578340647</v>
      </c>
      <c r="C3" s="12">
        <v>-122199.76578340644</v>
      </c>
    </row>
    <row r="4" spans="1:3">
      <c r="A4" s="10">
        <v>89</v>
      </c>
      <c r="B4" s="10">
        <v>745548.19685338996</v>
      </c>
      <c r="C4" s="10">
        <v>-118376.29685338994</v>
      </c>
    </row>
    <row r="5" spans="1:3">
      <c r="A5" s="5">
        <v>3</v>
      </c>
      <c r="B5" s="5">
        <v>768923.92968112091</v>
      </c>
      <c r="C5" s="5">
        <v>-110003.62968112086</v>
      </c>
    </row>
    <row r="6" spans="1:3">
      <c r="A6" s="5">
        <v>20</v>
      </c>
      <c r="B6" s="5">
        <v>524262.96166986489</v>
      </c>
      <c r="C6" s="5">
        <v>-108541.14166986488</v>
      </c>
    </row>
    <row r="7" spans="1:3">
      <c r="A7" s="5">
        <v>305</v>
      </c>
      <c r="B7" s="5">
        <v>637581.02040754515</v>
      </c>
      <c r="C7" s="5">
        <v>-99205.020407545147</v>
      </c>
    </row>
    <row r="8" spans="1:3">
      <c r="A8" s="5">
        <v>25</v>
      </c>
      <c r="B8" s="5">
        <v>893187.72580126813</v>
      </c>
      <c r="C8" s="5">
        <v>-92735.785801268183</v>
      </c>
    </row>
    <row r="9" spans="1:3">
      <c r="A9" s="5">
        <v>169</v>
      </c>
      <c r="B9" s="5">
        <v>686055.17735730472</v>
      </c>
      <c r="C9" s="5">
        <v>-92418.037357304711</v>
      </c>
    </row>
    <row r="10" spans="1:3">
      <c r="A10" s="5">
        <v>52</v>
      </c>
      <c r="B10" s="5">
        <v>553836.2557415145</v>
      </c>
      <c r="C10" s="5">
        <v>-90302.005741514498</v>
      </c>
    </row>
    <row r="11" spans="1:3">
      <c r="A11" s="5">
        <v>195</v>
      </c>
      <c r="B11" s="5">
        <v>538838.81968994613</v>
      </c>
      <c r="C11" s="5">
        <v>-89373.759689946135</v>
      </c>
    </row>
    <row r="12" spans="1:3">
      <c r="A12" s="5">
        <v>2</v>
      </c>
      <c r="B12" s="5">
        <v>762931.47599247005</v>
      </c>
      <c r="C12" s="5">
        <v>-84209.415992469992</v>
      </c>
    </row>
    <row r="13" spans="1:3">
      <c r="A13" s="5">
        <v>28</v>
      </c>
      <c r="B13" s="5">
        <v>595349.13882048882</v>
      </c>
      <c r="C13" s="5">
        <v>-83504.728820488846</v>
      </c>
    </row>
    <row r="14" spans="1:3">
      <c r="A14" s="5">
        <v>31</v>
      </c>
      <c r="B14" s="5">
        <v>508962.81142241857</v>
      </c>
      <c r="C14" s="5">
        <v>-81045.431422418565</v>
      </c>
    </row>
    <row r="15" spans="1:3">
      <c r="A15" s="5">
        <v>136</v>
      </c>
      <c r="B15" s="5">
        <v>713895.17638463294</v>
      </c>
      <c r="C15" s="5">
        <v>-80257.146384632913</v>
      </c>
    </row>
    <row r="16" spans="1:3">
      <c r="A16" s="5">
        <v>209</v>
      </c>
      <c r="B16" s="5">
        <v>770256.59972515411</v>
      </c>
      <c r="C16" s="5">
        <v>-78968.409725154168</v>
      </c>
    </row>
    <row r="17" spans="1:3">
      <c r="A17" s="5">
        <v>73</v>
      </c>
      <c r="B17" s="5">
        <v>709773.79058338038</v>
      </c>
      <c r="C17" s="5">
        <v>-78943.850583380437</v>
      </c>
    </row>
    <row r="18" spans="1:3">
      <c r="A18" s="5">
        <v>118</v>
      </c>
      <c r="B18" s="5">
        <v>761923.54517030856</v>
      </c>
      <c r="C18" s="5">
        <v>-77706.225170308608</v>
      </c>
    </row>
    <row r="19" spans="1:3">
      <c r="A19" s="5">
        <v>268</v>
      </c>
      <c r="B19" s="5">
        <v>737935.182531778</v>
      </c>
      <c r="C19" s="5">
        <v>-77301.192531778011</v>
      </c>
    </row>
    <row r="20" spans="1:3">
      <c r="A20" s="5">
        <v>207</v>
      </c>
      <c r="B20" s="5">
        <v>752851.58177388285</v>
      </c>
      <c r="C20" s="5">
        <v>-76933.951773882844</v>
      </c>
    </row>
    <row r="21" spans="1:3">
      <c r="A21" s="5">
        <v>130</v>
      </c>
      <c r="B21" s="5">
        <v>799554.98253071622</v>
      </c>
      <c r="C21" s="5">
        <v>-74319.702530716197</v>
      </c>
    </row>
    <row r="22" spans="1:3">
      <c r="A22" s="5">
        <v>276</v>
      </c>
      <c r="B22" s="5">
        <v>746929.8448884578</v>
      </c>
      <c r="C22" s="5">
        <v>-73853.504888457828</v>
      </c>
    </row>
    <row r="23" spans="1:3">
      <c r="A23" s="5">
        <v>1</v>
      </c>
      <c r="B23" s="5">
        <v>707855.10648927093</v>
      </c>
      <c r="C23" s="5">
        <v>-73419.106489270926</v>
      </c>
    </row>
    <row r="24" spans="1:3">
      <c r="A24" s="5">
        <v>271</v>
      </c>
      <c r="B24" s="5">
        <v>664742.93323205237</v>
      </c>
      <c r="C24" s="5">
        <v>-71399.933232052368</v>
      </c>
    </row>
    <row r="25" spans="1:3">
      <c r="A25" s="5">
        <v>123</v>
      </c>
      <c r="B25" s="5">
        <v>511292.67107324587</v>
      </c>
      <c r="C25" s="5">
        <v>-70017.25107324589</v>
      </c>
    </row>
    <row r="26" spans="1:3">
      <c r="A26" s="5">
        <v>316</v>
      </c>
      <c r="B26" s="5">
        <v>687956.96098781587</v>
      </c>
      <c r="C26" s="5">
        <v>-67692.760987815913</v>
      </c>
    </row>
    <row r="27" spans="1:3">
      <c r="A27" s="5">
        <v>13</v>
      </c>
      <c r="B27" s="5">
        <v>792251.22515216586</v>
      </c>
      <c r="C27" s="5">
        <v>-65644.945152165834</v>
      </c>
    </row>
    <row r="28" spans="1:3">
      <c r="A28" s="5">
        <v>33</v>
      </c>
      <c r="B28" s="5">
        <v>864840.03612884646</v>
      </c>
      <c r="C28" s="5">
        <v>-65362.276128846454</v>
      </c>
    </row>
    <row r="29" spans="1:3">
      <c r="A29" s="5">
        <v>299</v>
      </c>
      <c r="B29" s="5">
        <v>465316.98194346169</v>
      </c>
      <c r="C29" s="5">
        <v>-63734.401943461678</v>
      </c>
    </row>
    <row r="30" spans="1:3">
      <c r="A30" s="5">
        <v>236</v>
      </c>
      <c r="B30" s="5">
        <v>783092.72339338611</v>
      </c>
      <c r="C30" s="5">
        <v>-62013.373393386137</v>
      </c>
    </row>
    <row r="31" spans="1:3">
      <c r="A31" s="5">
        <v>206</v>
      </c>
      <c r="B31" s="5">
        <v>733739.72565304092</v>
      </c>
      <c r="C31" s="5">
        <v>-61871.135653040954</v>
      </c>
    </row>
    <row r="32" spans="1:3">
      <c r="A32" s="5">
        <v>4</v>
      </c>
      <c r="B32" s="5">
        <v>802183.83790076768</v>
      </c>
      <c r="C32" s="5">
        <v>-60842.397900767741</v>
      </c>
    </row>
    <row r="33" spans="1:3">
      <c r="A33" s="5">
        <v>191</v>
      </c>
      <c r="B33" s="5">
        <v>612910.32729551813</v>
      </c>
      <c r="C33" s="5">
        <v>-58898.257295518182</v>
      </c>
    </row>
    <row r="34" spans="1:3">
      <c r="A34" s="5">
        <v>228</v>
      </c>
      <c r="B34" s="5">
        <v>629305.8837043168</v>
      </c>
      <c r="C34" s="5">
        <v>-58342.573704316746</v>
      </c>
    </row>
    <row r="35" spans="1:3">
      <c r="A35" s="5">
        <v>133</v>
      </c>
      <c r="B35" s="5">
        <v>458224.27387366624</v>
      </c>
      <c r="C35" s="5">
        <v>-57392.62387366622</v>
      </c>
    </row>
    <row r="36" spans="1:3">
      <c r="A36" s="5">
        <v>75</v>
      </c>
      <c r="B36" s="5">
        <v>737866.82986396621</v>
      </c>
      <c r="C36" s="5">
        <v>-57026.469863966224</v>
      </c>
    </row>
    <row r="37" spans="1:3">
      <c r="A37" s="5">
        <v>307</v>
      </c>
      <c r="B37" s="5">
        <v>707137.41087939136</v>
      </c>
      <c r="C37" s="5">
        <v>-55973.230879391311</v>
      </c>
    </row>
    <row r="38" spans="1:3">
      <c r="A38" s="5">
        <v>132</v>
      </c>
      <c r="B38" s="5">
        <v>582186.22624474356</v>
      </c>
      <c r="C38" s="5">
        <v>-54886.09624474356</v>
      </c>
    </row>
    <row r="39" spans="1:3">
      <c r="A39" s="5">
        <v>120</v>
      </c>
      <c r="B39" s="5">
        <v>563815.13008506841</v>
      </c>
      <c r="C39" s="5">
        <v>-54330.320085068408</v>
      </c>
    </row>
    <row r="40" spans="1:3">
      <c r="A40" s="5">
        <v>154</v>
      </c>
      <c r="B40" s="5">
        <v>736190.72723539395</v>
      </c>
      <c r="C40" s="5">
        <v>-50360.487235393957</v>
      </c>
    </row>
    <row r="41" spans="1:3">
      <c r="A41" s="5">
        <v>319</v>
      </c>
      <c r="B41" s="5">
        <v>609997.33716471726</v>
      </c>
      <c r="C41" s="5">
        <v>-50336.497164717293</v>
      </c>
    </row>
    <row r="42" spans="1:3">
      <c r="A42" s="5">
        <v>168</v>
      </c>
      <c r="B42" s="5">
        <v>789502.99630602193</v>
      </c>
      <c r="C42" s="5">
        <v>-49671.266306021949</v>
      </c>
    </row>
    <row r="43" spans="1:3">
      <c r="A43" s="5">
        <v>202</v>
      </c>
      <c r="B43" s="5">
        <v>656279.6161078132</v>
      </c>
      <c r="C43" s="5">
        <v>-49194.696107813157</v>
      </c>
    </row>
    <row r="44" spans="1:3">
      <c r="A44" s="5">
        <v>160</v>
      </c>
      <c r="B44" s="5">
        <v>699227.15600476856</v>
      </c>
      <c r="C44" s="5">
        <v>-48747.096004768508</v>
      </c>
    </row>
    <row r="45" spans="1:3">
      <c r="A45" s="5">
        <v>313</v>
      </c>
      <c r="B45" s="5">
        <v>735991.6795380367</v>
      </c>
      <c r="C45" s="5">
        <v>-47623.219538036734</v>
      </c>
    </row>
    <row r="46" spans="1:3">
      <c r="A46" s="5">
        <v>192</v>
      </c>
      <c r="B46" s="5">
        <v>689437.58425732586</v>
      </c>
      <c r="C46" s="5">
        <v>-46008.734257325879</v>
      </c>
    </row>
    <row r="47" spans="1:3">
      <c r="A47" s="5">
        <v>198</v>
      </c>
      <c r="B47" s="5">
        <v>623359.83509529638</v>
      </c>
      <c r="C47" s="5">
        <v>-44409.995095296414</v>
      </c>
    </row>
    <row r="48" spans="1:3">
      <c r="A48" s="5">
        <v>45</v>
      </c>
      <c r="B48" s="5">
        <v>643883.53601652558</v>
      </c>
      <c r="C48" s="5">
        <v>-44280.136016525561</v>
      </c>
    </row>
    <row r="49" spans="1:3">
      <c r="A49" s="5">
        <v>289</v>
      </c>
      <c r="B49" s="5">
        <v>740326.91084702988</v>
      </c>
      <c r="C49" s="5">
        <v>-44065.420847029891</v>
      </c>
    </row>
    <row r="50" spans="1:3">
      <c r="A50" s="5">
        <v>230</v>
      </c>
      <c r="B50" s="5">
        <v>640927.14112007967</v>
      </c>
      <c r="C50" s="5">
        <v>-43957.871120079653</v>
      </c>
    </row>
    <row r="51" spans="1:3">
      <c r="A51" s="5">
        <v>197</v>
      </c>
      <c r="B51" s="5">
        <v>617450.02845026774</v>
      </c>
      <c r="C51" s="5">
        <v>-43383.418450267753</v>
      </c>
    </row>
    <row r="52" spans="1:3">
      <c r="A52" s="5">
        <v>101</v>
      </c>
      <c r="B52" s="5">
        <v>629027.4523439717</v>
      </c>
      <c r="C52" s="5">
        <v>-42400.512343971757</v>
      </c>
    </row>
    <row r="53" spans="1:3">
      <c r="A53" s="5">
        <v>144</v>
      </c>
      <c r="B53" s="5">
        <v>619502.26656737353</v>
      </c>
      <c r="C53" s="5">
        <v>-41769.696567373583</v>
      </c>
    </row>
    <row r="54" spans="1:3">
      <c r="A54" s="5">
        <v>59</v>
      </c>
      <c r="B54" s="5">
        <v>595042.09843062074</v>
      </c>
      <c r="C54" s="5">
        <v>-41285.668430620688</v>
      </c>
    </row>
    <row r="55" spans="1:3">
      <c r="A55" s="5">
        <v>309</v>
      </c>
      <c r="B55" s="5">
        <v>577491.1949055338</v>
      </c>
      <c r="C55" s="5">
        <v>-40966.354905533837</v>
      </c>
    </row>
    <row r="56" spans="1:3">
      <c r="A56" s="5">
        <v>280</v>
      </c>
      <c r="B56" s="5">
        <v>565693.87421117269</v>
      </c>
      <c r="C56" s="5">
        <v>-40794.304211172741</v>
      </c>
    </row>
    <row r="57" spans="1:3">
      <c r="A57" s="5">
        <v>58</v>
      </c>
      <c r="B57" s="5">
        <v>657501.87967040145</v>
      </c>
      <c r="C57" s="5">
        <v>-40210.72967040143</v>
      </c>
    </row>
    <row r="58" spans="1:3">
      <c r="A58" s="5">
        <v>55</v>
      </c>
      <c r="B58" s="5">
        <v>526267.1240304237</v>
      </c>
      <c r="C58" s="5">
        <v>-38802.214030423725</v>
      </c>
    </row>
    <row r="59" spans="1:3">
      <c r="A59" s="5">
        <v>292</v>
      </c>
      <c r="B59" s="5">
        <v>584661.02337445831</v>
      </c>
      <c r="C59" s="5">
        <v>-38437.323374458356</v>
      </c>
    </row>
    <row r="60" spans="1:3">
      <c r="A60" s="5">
        <v>223</v>
      </c>
      <c r="B60" s="5">
        <v>761423.97276467399</v>
      </c>
      <c r="C60" s="5">
        <v>-37892.572764673969</v>
      </c>
    </row>
    <row r="61" spans="1:3">
      <c r="A61" s="5">
        <v>173</v>
      </c>
      <c r="B61" s="5">
        <v>757757.90830983478</v>
      </c>
      <c r="C61" s="5">
        <v>-36393.79830983479</v>
      </c>
    </row>
    <row r="62" spans="1:3">
      <c r="A62" s="5">
        <v>114</v>
      </c>
      <c r="B62" s="5">
        <v>732241.7945717515</v>
      </c>
      <c r="C62" s="5">
        <v>-34953.894571751473</v>
      </c>
    </row>
    <row r="63" spans="1:3">
      <c r="A63" s="5">
        <v>35</v>
      </c>
      <c r="B63" s="5">
        <v>835562.82696111756</v>
      </c>
      <c r="C63" s="5">
        <v>-34583.046961117536</v>
      </c>
    </row>
    <row r="64" spans="1:3">
      <c r="A64" s="5">
        <v>37</v>
      </c>
      <c r="B64" s="5">
        <v>752663.67637018242</v>
      </c>
      <c r="C64" s="5">
        <v>-34333.146370182396</v>
      </c>
    </row>
    <row r="65" spans="1:3">
      <c r="A65" s="5">
        <v>122</v>
      </c>
      <c r="B65" s="5">
        <v>591097.25222142844</v>
      </c>
      <c r="C65" s="5">
        <v>-33609.992221428431</v>
      </c>
    </row>
    <row r="66" spans="1:3">
      <c r="A66" s="5">
        <v>145</v>
      </c>
      <c r="B66" s="5">
        <v>570169.22783974675</v>
      </c>
      <c r="C66" s="5">
        <v>-33110.897839746787</v>
      </c>
    </row>
    <row r="67" spans="1:3">
      <c r="A67" s="5">
        <v>246</v>
      </c>
      <c r="B67" s="5">
        <v>711064.97207105393</v>
      </c>
      <c r="C67" s="5">
        <v>-31834.11207105394</v>
      </c>
    </row>
    <row r="68" spans="1:3">
      <c r="A68" s="5">
        <v>48</v>
      </c>
      <c r="B68" s="5">
        <v>654135.02069507074</v>
      </c>
      <c r="C68" s="5">
        <v>-31323.280695070745</v>
      </c>
    </row>
    <row r="69" spans="1:3">
      <c r="A69" s="5">
        <v>85</v>
      </c>
      <c r="B69" s="5">
        <v>643066.53402718995</v>
      </c>
      <c r="C69" s="5">
        <v>-31299.814027189976</v>
      </c>
    </row>
    <row r="70" spans="1:3">
      <c r="A70" s="5">
        <v>174</v>
      </c>
      <c r="B70" s="5">
        <v>789026.6395977413</v>
      </c>
      <c r="C70" s="5">
        <v>-30888.349597741268</v>
      </c>
    </row>
    <row r="71" spans="1:3">
      <c r="A71" s="5">
        <v>5</v>
      </c>
      <c r="B71" s="5">
        <v>791172.52258116077</v>
      </c>
      <c r="C71" s="5">
        <v>-29337.1825811608</v>
      </c>
    </row>
    <row r="72" spans="1:3">
      <c r="A72" s="5">
        <v>17</v>
      </c>
      <c r="B72" s="5">
        <v>600881.87028873456</v>
      </c>
      <c r="C72" s="5">
        <v>-27726.680288734613</v>
      </c>
    </row>
    <row r="73" spans="1:3">
      <c r="A73" s="5">
        <v>152</v>
      </c>
      <c r="B73" s="5">
        <v>812576.30185127945</v>
      </c>
      <c r="C73" s="5">
        <v>-27548.051851279452</v>
      </c>
    </row>
    <row r="74" spans="1:3">
      <c r="A74" s="5">
        <v>69</v>
      </c>
      <c r="B74" s="5">
        <v>505859.85957265657</v>
      </c>
      <c r="C74" s="5">
        <v>-26809.359572656569</v>
      </c>
    </row>
    <row r="75" spans="1:3">
      <c r="A75" s="5">
        <v>226</v>
      </c>
      <c r="B75" s="5">
        <v>552368.13732783031</v>
      </c>
      <c r="C75" s="5">
        <v>-24686.577327830251</v>
      </c>
    </row>
    <row r="76" spans="1:3">
      <c r="A76" s="5">
        <v>281</v>
      </c>
      <c r="B76" s="5">
        <v>579956.72374757635</v>
      </c>
      <c r="C76" s="5">
        <v>-24398.953747576335</v>
      </c>
    </row>
    <row r="77" spans="1:3">
      <c r="A77" s="5">
        <v>171</v>
      </c>
      <c r="B77" s="5">
        <v>704071.39222730079</v>
      </c>
      <c r="C77" s="5">
        <v>-24339.822227300843</v>
      </c>
    </row>
    <row r="78" spans="1:3">
      <c r="A78" s="5">
        <v>135</v>
      </c>
      <c r="B78" s="5">
        <v>553369.19067142089</v>
      </c>
      <c r="C78" s="5">
        <v>-24293.240671420936</v>
      </c>
    </row>
    <row r="79" spans="1:3">
      <c r="A79" s="5">
        <v>30</v>
      </c>
      <c r="B79" s="5">
        <v>524381.64376127103</v>
      </c>
      <c r="C79" s="5">
        <v>-24208.62376127101</v>
      </c>
    </row>
    <row r="80" spans="1:3">
      <c r="A80" s="5">
        <v>21</v>
      </c>
      <c r="B80" s="5">
        <v>515082.63809436909</v>
      </c>
      <c r="C80" s="5">
        <v>-23177.508094369085</v>
      </c>
    </row>
    <row r="81" spans="1:3">
      <c r="A81" s="5">
        <v>18</v>
      </c>
      <c r="B81" s="5">
        <v>689631.44792800187</v>
      </c>
      <c r="C81" s="5">
        <v>-23058.247928001918</v>
      </c>
    </row>
    <row r="82" spans="1:3">
      <c r="A82" s="5">
        <v>115</v>
      </c>
      <c r="B82" s="5">
        <v>741112.17134449387</v>
      </c>
      <c r="C82" s="5">
        <v>-23037.381344493828</v>
      </c>
    </row>
    <row r="83" spans="1:3">
      <c r="A83" s="5">
        <v>14</v>
      </c>
      <c r="B83" s="5">
        <v>769385.89894820796</v>
      </c>
      <c r="C83" s="5">
        <v>-22884.808948207996</v>
      </c>
    </row>
    <row r="84" spans="1:3">
      <c r="A84" s="5">
        <v>287</v>
      </c>
      <c r="B84" s="5">
        <v>570867.28199517436</v>
      </c>
      <c r="C84" s="5">
        <v>-22763.581995174405</v>
      </c>
    </row>
    <row r="85" spans="1:3">
      <c r="A85" s="5">
        <v>95</v>
      </c>
      <c r="B85" s="5">
        <v>630652.33461046265</v>
      </c>
      <c r="C85" s="5">
        <v>-22754.214610462659</v>
      </c>
    </row>
    <row r="86" spans="1:3">
      <c r="A86" s="5">
        <v>203</v>
      </c>
      <c r="B86" s="5">
        <v>673513.64577435399</v>
      </c>
      <c r="C86" s="5">
        <v>-22718.155774354003</v>
      </c>
    </row>
    <row r="87" spans="1:3">
      <c r="A87" s="5">
        <v>190</v>
      </c>
      <c r="B87" s="5">
        <v>465860.91586728703</v>
      </c>
      <c r="C87" s="5">
        <v>-22585.325867287</v>
      </c>
    </row>
    <row r="88" spans="1:3">
      <c r="A88" s="5">
        <v>131</v>
      </c>
      <c r="B88" s="5">
        <v>833933.175185206</v>
      </c>
      <c r="C88" s="5">
        <v>-22480.455185206025</v>
      </c>
    </row>
    <row r="89" spans="1:3">
      <c r="A89" s="5">
        <v>79</v>
      </c>
      <c r="B89" s="5">
        <v>658836.66669056215</v>
      </c>
      <c r="C89" s="5">
        <v>-22275.326690562186</v>
      </c>
    </row>
    <row r="90" spans="1:3">
      <c r="A90" s="5">
        <v>175</v>
      </c>
      <c r="B90" s="5">
        <v>826391.22382317192</v>
      </c>
      <c r="C90" s="5">
        <v>-22127.223823171924</v>
      </c>
    </row>
    <row r="91" spans="1:3">
      <c r="A91" s="5">
        <v>184</v>
      </c>
      <c r="B91" s="5">
        <v>703945.31687202409</v>
      </c>
      <c r="C91" s="5">
        <v>-22089.756872024038</v>
      </c>
    </row>
    <row r="92" spans="1:3">
      <c r="A92" s="5">
        <v>157</v>
      </c>
      <c r="B92" s="5">
        <v>624081.82274527126</v>
      </c>
      <c r="C92" s="5">
        <v>-22079.502745271311</v>
      </c>
    </row>
    <row r="93" spans="1:3">
      <c r="A93" s="5">
        <v>165</v>
      </c>
      <c r="B93" s="5">
        <v>727490.13733970502</v>
      </c>
      <c r="C93" s="5">
        <v>-21204.617339705001</v>
      </c>
    </row>
    <row r="94" spans="1:3">
      <c r="A94" s="5">
        <v>291</v>
      </c>
      <c r="B94" s="5">
        <v>722857.35874131927</v>
      </c>
      <c r="C94" s="5">
        <v>-20788.438741319231</v>
      </c>
    </row>
    <row r="95" spans="1:3">
      <c r="A95" s="5">
        <v>80</v>
      </c>
      <c r="B95" s="5">
        <v>641513.25939713593</v>
      </c>
      <c r="C95" s="5">
        <v>-20143.679397135973</v>
      </c>
    </row>
    <row r="96" spans="1:3">
      <c r="A96" s="5">
        <v>255</v>
      </c>
      <c r="B96" s="5">
        <v>632438.54225722782</v>
      </c>
      <c r="C96" s="5">
        <v>-20048.402257227805</v>
      </c>
    </row>
    <row r="97" spans="1:3">
      <c r="A97" s="5">
        <v>92</v>
      </c>
      <c r="B97" s="5">
        <v>605771.3809948446</v>
      </c>
      <c r="C97" s="5">
        <v>-19833.900994844618</v>
      </c>
    </row>
    <row r="98" spans="1:3">
      <c r="A98" s="5">
        <v>318</v>
      </c>
      <c r="B98" s="5">
        <v>746257.26801629993</v>
      </c>
      <c r="C98" s="5">
        <v>-19481.048016299959</v>
      </c>
    </row>
    <row r="99" spans="1:3">
      <c r="A99" s="5">
        <v>110</v>
      </c>
      <c r="B99" s="5">
        <v>652369.78120692202</v>
      </c>
      <c r="C99" s="5">
        <v>-18875.571206922061</v>
      </c>
    </row>
    <row r="100" spans="1:3">
      <c r="A100" s="5">
        <v>10</v>
      </c>
      <c r="B100" s="5">
        <v>741442.37003893836</v>
      </c>
      <c r="C100" s="5">
        <v>-18381.61003893835</v>
      </c>
    </row>
    <row r="101" spans="1:3">
      <c r="A101" s="5">
        <v>16</v>
      </c>
      <c r="B101" s="5">
        <v>684436.22979039641</v>
      </c>
      <c r="C101" s="5">
        <v>-18283.709790396388</v>
      </c>
    </row>
    <row r="102" spans="1:3">
      <c r="A102" s="5">
        <v>264</v>
      </c>
      <c r="B102" s="5">
        <v>727097.08797662694</v>
      </c>
      <c r="C102" s="5">
        <v>-18111.897976626991</v>
      </c>
    </row>
    <row r="103" spans="1:3">
      <c r="A103" s="5">
        <v>148</v>
      </c>
      <c r="B103" s="5">
        <v>631487.09030299576</v>
      </c>
      <c r="C103" s="5">
        <v>-17462.180302995723</v>
      </c>
    </row>
    <row r="104" spans="1:3">
      <c r="A104" s="5">
        <v>300</v>
      </c>
      <c r="B104" s="5">
        <v>720766.70128287037</v>
      </c>
      <c r="C104" s="5">
        <v>-16953.711282870383</v>
      </c>
    </row>
    <row r="105" spans="1:3">
      <c r="A105" s="5">
        <v>210</v>
      </c>
      <c r="B105" s="5">
        <v>963485.32200691721</v>
      </c>
      <c r="C105" s="5">
        <v>-16651.782006917172</v>
      </c>
    </row>
    <row r="106" spans="1:3">
      <c r="A106" s="5">
        <v>211</v>
      </c>
      <c r="B106" s="5">
        <v>778501.75121104077</v>
      </c>
      <c r="C106" s="5">
        <v>-16538.521211040788</v>
      </c>
    </row>
    <row r="107" spans="1:3">
      <c r="A107" s="5">
        <v>279</v>
      </c>
      <c r="B107" s="5">
        <v>777509.18997618463</v>
      </c>
      <c r="C107" s="5">
        <v>-16386.769976184587</v>
      </c>
    </row>
    <row r="108" spans="1:3">
      <c r="A108" s="5">
        <v>200</v>
      </c>
      <c r="B108" s="5">
        <v>614730.23151356541</v>
      </c>
      <c r="C108" s="5">
        <v>-15825.331513565383</v>
      </c>
    </row>
    <row r="109" spans="1:3">
      <c r="A109" s="5">
        <v>119</v>
      </c>
      <c r="B109" s="5">
        <v>751224.6856820964</v>
      </c>
      <c r="C109" s="5">
        <v>-15744.495682096458</v>
      </c>
    </row>
    <row r="110" spans="1:3">
      <c r="A110" s="5">
        <v>64</v>
      </c>
      <c r="B110" s="5">
        <v>799865.53157576406</v>
      </c>
      <c r="C110" s="5">
        <v>-15362.851575764013</v>
      </c>
    </row>
    <row r="111" spans="1:3">
      <c r="A111" s="5">
        <v>65</v>
      </c>
      <c r="B111" s="5">
        <v>732355.75582826138</v>
      </c>
      <c r="C111" s="5">
        <v>-15214.205828261329</v>
      </c>
    </row>
    <row r="112" spans="1:3">
      <c r="A112" s="5">
        <v>284</v>
      </c>
      <c r="B112" s="5">
        <v>651754.78224449011</v>
      </c>
      <c r="C112" s="5">
        <v>-14979.122244490078</v>
      </c>
    </row>
    <row r="113" spans="1:3">
      <c r="A113" s="5">
        <v>214</v>
      </c>
      <c r="B113" s="5">
        <v>767175.04832585854</v>
      </c>
      <c r="C113" s="5">
        <v>-14853.328325858572</v>
      </c>
    </row>
    <row r="114" spans="1:3">
      <c r="A114" s="5">
        <v>19</v>
      </c>
      <c r="B114" s="5">
        <v>606350.26255986211</v>
      </c>
      <c r="C114" s="5">
        <v>-14730.312559862155</v>
      </c>
    </row>
    <row r="115" spans="1:3">
      <c r="A115" s="5">
        <v>298</v>
      </c>
      <c r="B115" s="5">
        <v>613586.47261577321</v>
      </c>
      <c r="C115" s="5">
        <v>-14569.142615773249</v>
      </c>
    </row>
    <row r="116" spans="1:3">
      <c r="A116" s="5">
        <v>308</v>
      </c>
      <c r="B116" s="5">
        <v>642669.73738032789</v>
      </c>
      <c r="C116" s="5">
        <v>-14131.437380327843</v>
      </c>
    </row>
    <row r="117" spans="1:3">
      <c r="A117" s="5">
        <v>310</v>
      </c>
      <c r="B117" s="5">
        <v>635532.91274450568</v>
      </c>
      <c r="C117" s="5">
        <v>-13855.612744505634</v>
      </c>
    </row>
    <row r="118" spans="1:3">
      <c r="A118" s="5">
        <v>204</v>
      </c>
      <c r="B118" s="5">
        <v>837220.17747289024</v>
      </c>
      <c r="C118" s="5">
        <v>-12159.65747289022</v>
      </c>
    </row>
    <row r="119" spans="1:3">
      <c r="A119" s="5">
        <v>162</v>
      </c>
      <c r="B119" s="5">
        <v>688921.35143886087</v>
      </c>
      <c r="C119" s="5">
        <v>-11824.641438860912</v>
      </c>
    </row>
    <row r="120" spans="1:3">
      <c r="A120" s="5">
        <v>247</v>
      </c>
      <c r="B120" s="5">
        <v>691444.18526233186</v>
      </c>
      <c r="C120" s="5">
        <v>-11555.445262331865</v>
      </c>
    </row>
    <row r="121" spans="1:3">
      <c r="A121" s="5">
        <v>285</v>
      </c>
      <c r="B121" s="5">
        <v>644460.92588883964</v>
      </c>
      <c r="C121" s="5">
        <v>-11451.395888839616</v>
      </c>
    </row>
    <row r="122" spans="1:3">
      <c r="A122" s="5">
        <v>125</v>
      </c>
      <c r="B122" s="5">
        <v>853738.71562049119</v>
      </c>
      <c r="C122" s="5">
        <v>-11299.045620491146</v>
      </c>
    </row>
    <row r="123" spans="1:3">
      <c r="A123" s="5">
        <v>155</v>
      </c>
      <c r="B123" s="5">
        <v>712969.08635854174</v>
      </c>
      <c r="C123" s="5">
        <v>-10650.146358541795</v>
      </c>
    </row>
    <row r="124" spans="1:3">
      <c r="A124" s="5">
        <v>129</v>
      </c>
      <c r="B124" s="5">
        <v>811861.89267227799</v>
      </c>
      <c r="C124" s="5">
        <v>-10031.54267227801</v>
      </c>
    </row>
    <row r="125" spans="1:3">
      <c r="A125" s="5">
        <v>116</v>
      </c>
      <c r="B125" s="5">
        <v>724238.96777259512</v>
      </c>
      <c r="C125" s="5">
        <v>-9296.5377725950675</v>
      </c>
    </row>
    <row r="126" spans="1:3">
      <c r="A126" s="5">
        <v>134</v>
      </c>
      <c r="B126" s="5">
        <v>602532.87122075201</v>
      </c>
      <c r="C126" s="5">
        <v>-9285.6212207520148</v>
      </c>
    </row>
    <row r="127" spans="1:3">
      <c r="A127" s="5">
        <v>72</v>
      </c>
      <c r="B127" s="5">
        <v>625278.99657642469</v>
      </c>
      <c r="C127" s="5">
        <v>-9209.5865764246555</v>
      </c>
    </row>
    <row r="128" spans="1:3">
      <c r="A128" s="5">
        <v>57</v>
      </c>
      <c r="B128" s="5">
        <v>509389.69830752548</v>
      </c>
      <c r="C128" s="5">
        <v>-9091.2183075255016</v>
      </c>
    </row>
    <row r="129" spans="1:3">
      <c r="A129" s="5">
        <v>24</v>
      </c>
      <c r="B129" s="5">
        <v>820580.04851166566</v>
      </c>
      <c r="C129" s="5">
        <v>-8808.9085116656497</v>
      </c>
    </row>
    <row r="130" spans="1:3">
      <c r="A130" s="5">
        <v>302</v>
      </c>
      <c r="B130" s="5">
        <v>739550.94373689429</v>
      </c>
      <c r="C130" s="5">
        <v>-8660.9337368942797</v>
      </c>
    </row>
    <row r="131" spans="1:3">
      <c r="A131" s="5">
        <v>249</v>
      </c>
      <c r="B131" s="5">
        <v>651350.82401812437</v>
      </c>
      <c r="C131" s="5">
        <v>-8599.4040181243327</v>
      </c>
    </row>
    <row r="132" spans="1:3">
      <c r="A132" s="5">
        <v>146</v>
      </c>
      <c r="B132" s="5">
        <v>609499.94206418679</v>
      </c>
      <c r="C132" s="5">
        <v>-7931.0720641867956</v>
      </c>
    </row>
    <row r="133" spans="1:3">
      <c r="A133" s="5">
        <v>193</v>
      </c>
      <c r="B133" s="5">
        <v>619781.5456533666</v>
      </c>
      <c r="C133" s="5">
        <v>-7857.2756533665815</v>
      </c>
    </row>
    <row r="134" spans="1:3">
      <c r="A134" s="5">
        <v>34</v>
      </c>
      <c r="B134" s="5">
        <v>806687.27729024168</v>
      </c>
      <c r="C134" s="5">
        <v>-7735.1072902416345</v>
      </c>
    </row>
    <row r="135" spans="1:3">
      <c r="A135" s="5">
        <v>87</v>
      </c>
      <c r="B135" s="5">
        <v>458294.59491195186</v>
      </c>
      <c r="C135" s="5">
        <v>-7582.674911951879</v>
      </c>
    </row>
    <row r="136" spans="1:3">
      <c r="A136" s="5">
        <v>23</v>
      </c>
      <c r="B136" s="5">
        <v>573171.97752743645</v>
      </c>
      <c r="C136" s="5">
        <v>-7360.9875274364604</v>
      </c>
    </row>
    <row r="137" spans="1:3">
      <c r="A137" s="5">
        <v>38</v>
      </c>
      <c r="B137" s="5">
        <v>743986.13618341135</v>
      </c>
      <c r="C137" s="5">
        <v>-7352.7361834113253</v>
      </c>
    </row>
    <row r="138" spans="1:3">
      <c r="A138" s="5">
        <v>270</v>
      </c>
      <c r="B138" s="5">
        <v>807040.99192159274</v>
      </c>
      <c r="C138" s="5">
        <v>-7284.5319215927739</v>
      </c>
    </row>
    <row r="139" spans="1:3">
      <c r="A139" s="5">
        <v>9</v>
      </c>
      <c r="B139" s="5">
        <v>786201.76161444117</v>
      </c>
      <c r="C139" s="5">
        <v>-7190.821614441229</v>
      </c>
    </row>
    <row r="140" spans="1:3">
      <c r="A140" s="5">
        <v>127</v>
      </c>
      <c r="B140" s="5">
        <v>704194.05050560099</v>
      </c>
      <c r="C140" s="5">
        <v>-7038.7505056009395</v>
      </c>
    </row>
    <row r="141" spans="1:3">
      <c r="A141" s="5">
        <v>222</v>
      </c>
      <c r="B141" s="5">
        <v>737651.45555998548</v>
      </c>
      <c r="C141" s="5">
        <v>-4983.5355599854374</v>
      </c>
    </row>
    <row r="142" spans="1:3">
      <c r="A142" s="5">
        <v>250</v>
      </c>
      <c r="B142" s="5">
        <v>652261.80209210911</v>
      </c>
      <c r="C142" s="5">
        <v>-4308.0220921090804</v>
      </c>
    </row>
    <row r="143" spans="1:3">
      <c r="A143" s="5">
        <v>62</v>
      </c>
      <c r="B143" s="5">
        <v>576307.25714498071</v>
      </c>
      <c r="C143" s="5">
        <v>-4296.0571449807612</v>
      </c>
    </row>
    <row r="144" spans="1:3">
      <c r="A144" s="5">
        <v>163</v>
      </c>
      <c r="B144" s="5">
        <v>696146.6857642415</v>
      </c>
      <c r="C144" s="5">
        <v>-4138.045764241484</v>
      </c>
    </row>
    <row r="145" spans="1:3">
      <c r="A145" s="5">
        <v>147</v>
      </c>
      <c r="B145" s="5">
        <v>574567.65489852231</v>
      </c>
      <c r="C145" s="5">
        <v>-3602.8148985223379</v>
      </c>
    </row>
    <row r="146" spans="1:3">
      <c r="A146" s="5">
        <v>294</v>
      </c>
      <c r="B146" s="5">
        <v>502507.16857259767</v>
      </c>
      <c r="C146" s="5">
        <v>-3536.8485725976643</v>
      </c>
    </row>
    <row r="147" spans="1:3">
      <c r="A147" s="5">
        <v>166</v>
      </c>
      <c r="B147" s="5">
        <v>669031.80817830167</v>
      </c>
      <c r="C147" s="5">
        <v>-3497.1081783017144</v>
      </c>
    </row>
    <row r="148" spans="1:3">
      <c r="A148" s="5">
        <v>274</v>
      </c>
      <c r="B148" s="5">
        <v>639227.99467569718</v>
      </c>
      <c r="C148" s="5">
        <v>-3390.254675697186</v>
      </c>
    </row>
    <row r="149" spans="1:3">
      <c r="A149" s="5">
        <v>237</v>
      </c>
      <c r="B149" s="5">
        <v>813689.66577004734</v>
      </c>
      <c r="C149" s="5">
        <v>-3334.6457700473256</v>
      </c>
    </row>
    <row r="150" spans="1:3">
      <c r="A150" s="5">
        <v>156</v>
      </c>
      <c r="B150" s="5">
        <v>703353.54926731554</v>
      </c>
      <c r="C150" s="5">
        <v>-3275.2292673155898</v>
      </c>
    </row>
    <row r="151" spans="1:3">
      <c r="A151" s="5">
        <v>86</v>
      </c>
      <c r="B151" s="5">
        <v>617601.93068902683</v>
      </c>
      <c r="C151" s="5">
        <v>-3005.6106890268857</v>
      </c>
    </row>
    <row r="152" spans="1:3">
      <c r="A152" s="5">
        <v>182</v>
      </c>
      <c r="B152" s="5">
        <v>763987.64214830496</v>
      </c>
      <c r="C152" s="5">
        <v>-2910.5621483050054</v>
      </c>
    </row>
    <row r="153" spans="1:3">
      <c r="A153" s="5">
        <v>278</v>
      </c>
      <c r="B153" s="5">
        <v>759518.80475131061</v>
      </c>
      <c r="C153" s="5">
        <v>-2899.0347513105953</v>
      </c>
    </row>
    <row r="154" spans="1:3">
      <c r="A154" s="5">
        <v>76</v>
      </c>
      <c r="B154" s="5">
        <v>646516.42650854401</v>
      </c>
      <c r="C154" s="5">
        <v>-2858.9565085440408</v>
      </c>
    </row>
    <row r="155" spans="1:3">
      <c r="A155" s="5">
        <v>96</v>
      </c>
      <c r="B155" s="5">
        <v>693663.36281014676</v>
      </c>
      <c r="C155" s="5">
        <v>-2549.7428101467667</v>
      </c>
    </row>
    <row r="156" spans="1:3">
      <c r="A156" s="5">
        <v>286</v>
      </c>
      <c r="B156" s="5">
        <v>612066.08511143189</v>
      </c>
      <c r="C156" s="5">
        <v>-2117.0851114318939</v>
      </c>
    </row>
    <row r="157" spans="1:3">
      <c r="A157" s="5">
        <v>221</v>
      </c>
      <c r="B157" s="5">
        <v>674478.65894704277</v>
      </c>
      <c r="C157" s="5">
        <v>-1808.1189470427344</v>
      </c>
    </row>
    <row r="158" spans="1:3">
      <c r="A158" s="5">
        <v>215</v>
      </c>
      <c r="B158" s="5">
        <v>838352.3784184088</v>
      </c>
      <c r="C158" s="5">
        <v>-1444.1384184088092</v>
      </c>
    </row>
    <row r="159" spans="1:3">
      <c r="A159" s="5">
        <v>183</v>
      </c>
      <c r="B159" s="5">
        <v>820721.66346315492</v>
      </c>
      <c r="C159" s="5">
        <v>-1061.0734631549567</v>
      </c>
    </row>
    <row r="160" spans="1:3">
      <c r="A160" s="5">
        <v>194</v>
      </c>
      <c r="B160" s="5">
        <v>560191.82015696028</v>
      </c>
      <c r="C160" s="5">
        <v>-769.80015696026385</v>
      </c>
    </row>
    <row r="161" spans="1:3">
      <c r="A161" s="5">
        <v>26</v>
      </c>
      <c r="B161" s="5">
        <v>783926.91279936372</v>
      </c>
      <c r="C161" s="5">
        <v>-254.09279936377425</v>
      </c>
    </row>
    <row r="162" spans="1:3">
      <c r="A162" s="5">
        <v>235</v>
      </c>
      <c r="B162" s="5">
        <v>670635.54977400717</v>
      </c>
      <c r="C162" s="5">
        <v>-6.0697740071918815</v>
      </c>
    </row>
    <row r="163" spans="1:3">
      <c r="A163" s="5">
        <v>283</v>
      </c>
      <c r="B163" s="5">
        <v>497428.13325280807</v>
      </c>
      <c r="C163" s="5">
        <v>11.686747191939503</v>
      </c>
    </row>
    <row r="164" spans="1:3">
      <c r="A164" s="5">
        <v>29</v>
      </c>
      <c r="B164" s="5">
        <v>536827.61808048701</v>
      </c>
      <c r="C164" s="5">
        <v>556.17191951302812</v>
      </c>
    </row>
    <row r="165" spans="1:3">
      <c r="A165" s="5">
        <v>98</v>
      </c>
      <c r="B165" s="5">
        <v>605171.96382529789</v>
      </c>
      <c r="C165" s="5">
        <v>603.36617470206693</v>
      </c>
    </row>
    <row r="166" spans="1:3">
      <c r="A166" s="5">
        <v>181</v>
      </c>
      <c r="B166" s="5">
        <v>750770.45102327631</v>
      </c>
      <c r="C166" s="5">
        <v>623.42897672369145</v>
      </c>
    </row>
    <row r="167" spans="1:3">
      <c r="A167" s="5">
        <v>238</v>
      </c>
      <c r="B167" s="5">
        <v>761184.32204109582</v>
      </c>
      <c r="C167" s="5">
        <v>734.92795890418347</v>
      </c>
    </row>
    <row r="168" spans="1:3">
      <c r="A168" s="5">
        <v>261</v>
      </c>
      <c r="B168" s="5">
        <v>604968.49640903401</v>
      </c>
      <c r="C168" s="5">
        <v>782.83359096595086</v>
      </c>
    </row>
    <row r="169" spans="1:3">
      <c r="A169" s="5">
        <v>317</v>
      </c>
      <c r="B169" s="5">
        <v>535302.40402087395</v>
      </c>
      <c r="C169" s="5">
        <v>1543.0159791260958</v>
      </c>
    </row>
    <row r="170" spans="1:3">
      <c r="A170" s="5">
        <v>180</v>
      </c>
      <c r="B170" s="5">
        <v>853638.92384572257</v>
      </c>
      <c r="C170" s="5">
        <v>1702.3561542774551</v>
      </c>
    </row>
    <row r="171" spans="1:3">
      <c r="A171" s="5">
        <v>187</v>
      </c>
      <c r="B171" s="5">
        <v>710718.2275118347</v>
      </c>
      <c r="C171" s="5">
        <v>1828.1524881653022</v>
      </c>
    </row>
    <row r="172" spans="1:3">
      <c r="A172" s="5">
        <v>153</v>
      </c>
      <c r="B172" s="5">
        <v>695520.03636916494</v>
      </c>
      <c r="C172" s="5">
        <v>2972.6336308351019</v>
      </c>
    </row>
    <row r="173" spans="1:3">
      <c r="A173" s="5">
        <v>301</v>
      </c>
      <c r="B173" s="5">
        <v>721324.10372516245</v>
      </c>
      <c r="C173" s="5">
        <v>3022.6262748375302</v>
      </c>
    </row>
    <row r="174" spans="1:3">
      <c r="A174" s="5">
        <v>40</v>
      </c>
      <c r="B174" s="5">
        <v>588660.35558963695</v>
      </c>
      <c r="C174" s="5">
        <v>3535.494410363026</v>
      </c>
    </row>
    <row r="175" spans="1:3">
      <c r="A175" s="5">
        <v>296</v>
      </c>
      <c r="B175" s="5">
        <v>664787.36517373601</v>
      </c>
      <c r="C175" s="5">
        <v>3672.0048262639903</v>
      </c>
    </row>
    <row r="176" spans="1:3">
      <c r="A176" s="5">
        <v>234</v>
      </c>
      <c r="B176" s="5">
        <v>636982.78861028072</v>
      </c>
      <c r="C176" s="5">
        <v>3683.7413897193037</v>
      </c>
    </row>
    <row r="177" spans="1:3">
      <c r="A177" s="5">
        <v>172</v>
      </c>
      <c r="B177" s="5">
        <v>776356.87937799713</v>
      </c>
      <c r="C177" s="5">
        <v>3987.3006220029201</v>
      </c>
    </row>
    <row r="178" spans="1:3">
      <c r="A178" s="5">
        <v>217</v>
      </c>
      <c r="B178" s="5">
        <v>618883.93576717272</v>
      </c>
      <c r="C178" s="5">
        <v>4008.4842328273226</v>
      </c>
    </row>
    <row r="179" spans="1:3">
      <c r="A179" s="5">
        <v>220</v>
      </c>
      <c r="B179" s="5">
        <v>707289.52859710029</v>
      </c>
      <c r="C179" s="5">
        <v>4930.2814028997673</v>
      </c>
    </row>
    <row r="180" spans="1:3">
      <c r="A180" s="5">
        <v>208</v>
      </c>
      <c r="B180" s="5">
        <v>803729.03017271834</v>
      </c>
      <c r="C180" s="5">
        <v>6717.4998272816883</v>
      </c>
    </row>
    <row r="181" spans="1:3">
      <c r="A181" s="5">
        <v>105</v>
      </c>
      <c r="B181" s="5">
        <v>776871.124826652</v>
      </c>
      <c r="C181" s="5">
        <v>6926.7651733480161</v>
      </c>
    </row>
    <row r="182" spans="1:3">
      <c r="A182" s="5">
        <v>245</v>
      </c>
      <c r="B182" s="5">
        <v>743516.48669097119</v>
      </c>
      <c r="C182" s="5">
        <v>6954.853309028782</v>
      </c>
    </row>
    <row r="183" spans="1:3">
      <c r="A183" s="5">
        <v>39</v>
      </c>
      <c r="B183" s="5">
        <v>821664.19493886922</v>
      </c>
      <c r="C183" s="5">
        <v>6959.6550611307612</v>
      </c>
    </row>
    <row r="184" spans="1:3">
      <c r="A184" s="5">
        <v>258</v>
      </c>
      <c r="B184" s="5">
        <v>739031.7900304643</v>
      </c>
      <c r="C184" s="5">
        <v>7083.7999695356702</v>
      </c>
    </row>
    <row r="185" spans="1:3">
      <c r="A185" s="5">
        <v>189</v>
      </c>
      <c r="B185" s="5">
        <v>543739.21844125784</v>
      </c>
      <c r="C185" s="5">
        <v>7223.7115587422159</v>
      </c>
    </row>
    <row r="186" spans="1:3">
      <c r="A186" s="5">
        <v>49</v>
      </c>
      <c r="B186" s="5">
        <v>595688.63127113134</v>
      </c>
      <c r="C186" s="5">
        <v>7608.9387288686121</v>
      </c>
    </row>
    <row r="187" spans="1:3">
      <c r="A187" s="5">
        <v>6</v>
      </c>
      <c r="B187" s="5">
        <v>798687.64878068853</v>
      </c>
      <c r="C187" s="5">
        <v>7927.8912193115102</v>
      </c>
    </row>
    <row r="188" spans="1:3">
      <c r="A188" s="5">
        <v>107</v>
      </c>
      <c r="B188" s="5">
        <v>657626.76260651893</v>
      </c>
      <c r="C188" s="5">
        <v>7968.177393481019</v>
      </c>
    </row>
    <row r="189" spans="1:3">
      <c r="A189" s="5">
        <v>260</v>
      </c>
      <c r="B189" s="5">
        <v>520565.1643780435</v>
      </c>
      <c r="C189" s="5">
        <v>8287.4556219564984</v>
      </c>
    </row>
    <row r="190" spans="1:3">
      <c r="A190" s="5">
        <v>56</v>
      </c>
      <c r="B190" s="5">
        <v>509475.41405670485</v>
      </c>
      <c r="C190" s="5">
        <v>8573.845943295164</v>
      </c>
    </row>
    <row r="191" spans="1:3">
      <c r="A191" s="5">
        <v>41</v>
      </c>
      <c r="B191" s="5">
        <v>523193.27356436866</v>
      </c>
      <c r="C191" s="5">
        <v>9451.1864356313017</v>
      </c>
    </row>
    <row r="192" spans="1:3">
      <c r="A192" s="5">
        <v>70</v>
      </c>
      <c r="B192" s="5">
        <v>595376.982880631</v>
      </c>
      <c r="C192" s="5">
        <v>9646.8871193689993</v>
      </c>
    </row>
    <row r="193" spans="1:3">
      <c r="A193" s="5">
        <v>293</v>
      </c>
      <c r="B193" s="5">
        <v>523175.5623125878</v>
      </c>
      <c r="C193" s="5">
        <v>9945.6976874122047</v>
      </c>
    </row>
    <row r="194" spans="1:3">
      <c r="A194" s="5">
        <v>84</v>
      </c>
      <c r="B194" s="5">
        <v>563981.51939602196</v>
      </c>
      <c r="C194" s="5">
        <v>10454.770603978075</v>
      </c>
    </row>
    <row r="195" spans="1:3">
      <c r="A195" s="5">
        <v>109</v>
      </c>
      <c r="B195" s="5">
        <v>653701.39181874308</v>
      </c>
      <c r="C195" s="5">
        <v>10461.098181256908</v>
      </c>
    </row>
    <row r="196" spans="1:3">
      <c r="A196" s="5">
        <v>15</v>
      </c>
      <c r="B196" s="5">
        <v>823310.65300597087</v>
      </c>
      <c r="C196" s="5">
        <v>10706.366994029144</v>
      </c>
    </row>
    <row r="197" spans="1:3">
      <c r="A197" s="5">
        <v>22</v>
      </c>
      <c r="B197" s="5">
        <v>544507.87920334435</v>
      </c>
      <c r="C197" s="5">
        <v>11421.520796655677</v>
      </c>
    </row>
    <row r="198" spans="1:3">
      <c r="A198" s="5">
        <v>43</v>
      </c>
      <c r="B198" s="5">
        <v>593622.81646951835</v>
      </c>
      <c r="C198" s="5">
        <v>11555.183530481649</v>
      </c>
    </row>
    <row r="199" spans="1:3">
      <c r="A199" s="5">
        <v>225</v>
      </c>
      <c r="B199" s="5">
        <v>524886.41753861378</v>
      </c>
      <c r="C199" s="5">
        <v>11659.072461386211</v>
      </c>
    </row>
    <row r="200" spans="1:3">
      <c r="A200" s="5">
        <v>167</v>
      </c>
      <c r="B200" s="5">
        <v>809035.01747596834</v>
      </c>
      <c r="C200" s="5">
        <v>11694.272524031694</v>
      </c>
    </row>
    <row r="201" spans="1:3">
      <c r="A201" s="5">
        <v>47</v>
      </c>
      <c r="B201" s="5">
        <v>572160.70563143853</v>
      </c>
      <c r="C201" s="5">
        <v>13205.024368561455</v>
      </c>
    </row>
    <row r="202" spans="1:3">
      <c r="A202" s="5">
        <v>67</v>
      </c>
      <c r="B202" s="5">
        <v>727032.79852420522</v>
      </c>
      <c r="C202" s="5">
        <v>13463.8514757948</v>
      </c>
    </row>
    <row r="203" spans="1:3">
      <c r="A203" s="5">
        <v>248</v>
      </c>
      <c r="B203" s="5">
        <v>592820.31826306926</v>
      </c>
      <c r="C203" s="5">
        <v>13963.351736930781</v>
      </c>
    </row>
    <row r="204" spans="1:3">
      <c r="A204" s="5">
        <v>128</v>
      </c>
      <c r="B204" s="5">
        <v>834860.8211763677</v>
      </c>
      <c r="C204" s="5">
        <v>14157.478823632351</v>
      </c>
    </row>
    <row r="205" spans="1:3">
      <c r="A205" s="5">
        <v>288</v>
      </c>
      <c r="B205" s="5">
        <v>715030.90701464575</v>
      </c>
      <c r="C205" s="5">
        <v>14393.512985354289</v>
      </c>
    </row>
    <row r="206" spans="1:3">
      <c r="A206" s="5">
        <v>314</v>
      </c>
      <c r="B206" s="5">
        <v>697677.34552639618</v>
      </c>
      <c r="C206" s="5">
        <v>14698.424473603838</v>
      </c>
    </row>
    <row r="207" spans="1:3">
      <c r="A207" s="5">
        <v>185</v>
      </c>
      <c r="B207" s="5">
        <v>663345.03107692569</v>
      </c>
      <c r="C207" s="5">
        <v>14966.138923074352</v>
      </c>
    </row>
    <row r="208" spans="1:3">
      <c r="A208" s="5">
        <v>170</v>
      </c>
      <c r="B208" s="5">
        <v>754715.1142446294</v>
      </c>
      <c r="C208" s="5">
        <v>14987.645755370613</v>
      </c>
    </row>
    <row r="209" spans="1:3">
      <c r="A209" s="5">
        <v>149</v>
      </c>
      <c r="B209" s="5">
        <v>697810.13866214687</v>
      </c>
      <c r="C209" s="5">
        <v>15058.211337853107</v>
      </c>
    </row>
    <row r="210" spans="1:3">
      <c r="A210" s="5">
        <v>219</v>
      </c>
      <c r="B210" s="5">
        <v>591208.70558887662</v>
      </c>
      <c r="C210" s="5">
        <v>15069.594411123428</v>
      </c>
    </row>
    <row r="211" spans="1:3">
      <c r="A211" s="5">
        <v>315</v>
      </c>
      <c r="B211" s="5">
        <v>829595.9102914267</v>
      </c>
      <c r="C211" s="5">
        <v>15114.759708573343</v>
      </c>
    </row>
    <row r="212" spans="1:3">
      <c r="A212" s="5">
        <v>272</v>
      </c>
      <c r="B212" s="5">
        <v>629915.18337490095</v>
      </c>
      <c r="C212" s="5">
        <v>15124.786625099019</v>
      </c>
    </row>
    <row r="213" spans="1:3">
      <c r="A213" s="5">
        <v>251</v>
      </c>
      <c r="B213" s="5">
        <v>713694.95571757271</v>
      </c>
      <c r="C213" s="5">
        <v>15745.494282427244</v>
      </c>
    </row>
    <row r="214" spans="1:3">
      <c r="A214" s="5">
        <v>139</v>
      </c>
      <c r="B214" s="5">
        <v>630718.8826240832</v>
      </c>
      <c r="C214" s="5">
        <v>15840.827375916764</v>
      </c>
    </row>
    <row r="215" spans="1:3">
      <c r="A215" s="5">
        <v>244</v>
      </c>
      <c r="B215" s="5">
        <v>785942.02145665255</v>
      </c>
      <c r="C215" s="5">
        <v>16059.658543347497</v>
      </c>
    </row>
    <row r="216" spans="1:3">
      <c r="A216" s="5">
        <v>27</v>
      </c>
      <c r="B216" s="5">
        <v>684549.18052207504</v>
      </c>
      <c r="C216" s="5">
        <v>17092.789477924933</v>
      </c>
    </row>
    <row r="217" spans="1:3">
      <c r="A217" s="5">
        <v>252</v>
      </c>
      <c r="B217" s="5">
        <v>747432.05078320333</v>
      </c>
      <c r="C217" s="5">
        <v>17516.949216796667</v>
      </c>
    </row>
    <row r="218" spans="1:3">
      <c r="A218" s="5">
        <v>239</v>
      </c>
      <c r="B218" s="5">
        <v>718027.80791499291</v>
      </c>
      <c r="C218" s="5">
        <v>19042.37208500714</v>
      </c>
    </row>
    <row r="219" spans="1:3">
      <c r="A219" s="5">
        <v>266</v>
      </c>
      <c r="B219" s="5">
        <v>726361.88653710671</v>
      </c>
      <c r="C219" s="5">
        <v>19218.623462893302</v>
      </c>
    </row>
    <row r="220" spans="1:3">
      <c r="A220" s="5">
        <v>50</v>
      </c>
      <c r="B220" s="5">
        <v>606438.11822034826</v>
      </c>
      <c r="C220" s="5">
        <v>19234.741779651726</v>
      </c>
    </row>
    <row r="221" spans="1:3">
      <c r="A221" s="5">
        <v>295</v>
      </c>
      <c r="B221" s="5">
        <v>468299.77268810233</v>
      </c>
      <c r="C221" s="5">
        <v>19438.487311897683</v>
      </c>
    </row>
    <row r="222" spans="1:3">
      <c r="A222" s="5">
        <v>312</v>
      </c>
      <c r="B222" s="5">
        <v>680731.01755949052</v>
      </c>
      <c r="C222" s="5">
        <v>21321.452440509456</v>
      </c>
    </row>
    <row r="223" spans="1:3">
      <c r="A223" s="5">
        <v>143</v>
      </c>
      <c r="B223" s="5">
        <v>673762.75789158407</v>
      </c>
      <c r="C223" s="5">
        <v>21335.752108415938</v>
      </c>
    </row>
    <row r="224" spans="1:3">
      <c r="A224" s="5">
        <v>311</v>
      </c>
      <c r="B224" s="5">
        <v>749330.95846677129</v>
      </c>
      <c r="C224" s="5">
        <v>21798.111533228657</v>
      </c>
    </row>
    <row r="225" spans="1:3">
      <c r="A225" s="5">
        <v>141</v>
      </c>
      <c r="B225" s="5">
        <v>692927.9053415138</v>
      </c>
      <c r="C225" s="5">
        <v>22169.664658486145</v>
      </c>
    </row>
    <row r="226" spans="1:3">
      <c r="A226" s="5">
        <v>231</v>
      </c>
      <c r="B226" s="5">
        <v>625214.71295152768</v>
      </c>
      <c r="C226" s="5">
        <v>22298.137048472301</v>
      </c>
    </row>
    <row r="227" spans="1:3">
      <c r="A227" s="5">
        <v>83</v>
      </c>
      <c r="B227" s="5">
        <v>544648.23006170092</v>
      </c>
      <c r="C227" s="5">
        <v>24452.549938299111</v>
      </c>
    </row>
    <row r="228" spans="1:3">
      <c r="A228" s="5">
        <v>265</v>
      </c>
      <c r="B228" s="5">
        <v>742902.6814849386</v>
      </c>
      <c r="C228" s="5">
        <v>24890.258515061345</v>
      </c>
    </row>
    <row r="229" spans="1:3">
      <c r="A229" s="5">
        <v>257</v>
      </c>
      <c r="B229" s="5">
        <v>672750.35012158996</v>
      </c>
      <c r="C229" s="5">
        <v>25137.739878410008</v>
      </c>
    </row>
    <row r="230" spans="1:3">
      <c r="A230" s="5">
        <v>227</v>
      </c>
      <c r="B230" s="5">
        <v>504433.75253233139</v>
      </c>
      <c r="C230" s="5">
        <v>25165.187467668555</v>
      </c>
    </row>
    <row r="231" spans="1:3">
      <c r="A231" s="5">
        <v>263</v>
      </c>
      <c r="B231" s="5">
        <v>611291.0956286845</v>
      </c>
      <c r="C231" s="5">
        <v>25322.134371315478</v>
      </c>
    </row>
    <row r="232" spans="1:3">
      <c r="A232" s="5">
        <v>242</v>
      </c>
      <c r="B232" s="5">
        <v>802354.45886678679</v>
      </c>
      <c r="C232" s="5">
        <v>25865.211133213248</v>
      </c>
    </row>
    <row r="233" spans="1:3">
      <c r="A233" s="5">
        <v>99</v>
      </c>
      <c r="B233" s="5">
        <v>648793.33746041555</v>
      </c>
      <c r="C233" s="5">
        <v>26384.342539584497</v>
      </c>
    </row>
    <row r="234" spans="1:3">
      <c r="A234" s="5">
        <v>243</v>
      </c>
      <c r="B234" s="5">
        <v>736629.36075038905</v>
      </c>
      <c r="C234" s="5">
        <v>26530.559249610989</v>
      </c>
    </row>
    <row r="235" spans="1:3">
      <c r="A235" s="5">
        <v>282</v>
      </c>
      <c r="B235" s="5">
        <v>687415.53405588912</v>
      </c>
      <c r="C235" s="5">
        <v>26668.145944110933</v>
      </c>
    </row>
    <row r="236" spans="1:3">
      <c r="A236" s="5">
        <v>53</v>
      </c>
      <c r="B236" s="5">
        <v>719265.35258610372</v>
      </c>
      <c r="C236" s="5">
        <v>27412.39741389628</v>
      </c>
    </row>
    <row r="237" spans="1:3">
      <c r="A237" s="5">
        <v>102</v>
      </c>
      <c r="B237" s="5">
        <v>712553.18489045871</v>
      </c>
      <c r="C237" s="5">
        <v>27549.455109541304</v>
      </c>
    </row>
    <row r="238" spans="1:3">
      <c r="A238" s="5">
        <v>12</v>
      </c>
      <c r="B238" s="5">
        <v>893227.85625283746</v>
      </c>
      <c r="C238" s="5">
        <v>28940.743747162516</v>
      </c>
    </row>
    <row r="239" spans="1:3">
      <c r="A239" s="5">
        <v>151</v>
      </c>
      <c r="B239" s="5">
        <v>696591.19817262096</v>
      </c>
      <c r="C239" s="5">
        <v>29256.791827379027</v>
      </c>
    </row>
    <row r="240" spans="1:3">
      <c r="A240" s="5">
        <v>90</v>
      </c>
      <c r="B240" s="5">
        <v>710473.80868299096</v>
      </c>
      <c r="C240" s="5">
        <v>29378.771317008999</v>
      </c>
    </row>
    <row r="241" spans="1:3">
      <c r="A241" s="5">
        <v>137</v>
      </c>
      <c r="B241" s="5">
        <v>713376.66507951356</v>
      </c>
      <c r="C241" s="5">
        <v>29972.174920486403</v>
      </c>
    </row>
    <row r="242" spans="1:3">
      <c r="A242" s="5">
        <v>212</v>
      </c>
      <c r="B242" s="5">
        <v>781861.12010494608</v>
      </c>
      <c r="C242" s="5">
        <v>30291.479895053897</v>
      </c>
    </row>
    <row r="243" spans="1:3">
      <c r="A243" s="5">
        <v>277</v>
      </c>
      <c r="B243" s="5">
        <v>708120.07340402342</v>
      </c>
      <c r="C243" s="5">
        <v>30428.346595976618</v>
      </c>
    </row>
    <row r="244" spans="1:3">
      <c r="A244" s="5">
        <v>304</v>
      </c>
      <c r="B244" s="5">
        <v>696999.10704044183</v>
      </c>
      <c r="C244" s="5">
        <v>30958.372959558154</v>
      </c>
    </row>
    <row r="245" spans="1:3">
      <c r="A245" s="5">
        <v>176</v>
      </c>
      <c r="B245" s="5">
        <v>853971.09784927359</v>
      </c>
      <c r="C245" s="5">
        <v>33566.652150726411</v>
      </c>
    </row>
    <row r="246" spans="1:3">
      <c r="A246" s="5">
        <v>188</v>
      </c>
      <c r="B246" s="5">
        <v>591981.61527247832</v>
      </c>
      <c r="C246" s="5">
        <v>34012.214727521641</v>
      </c>
    </row>
    <row r="247" spans="1:3">
      <c r="A247" s="5">
        <v>213</v>
      </c>
      <c r="B247" s="5">
        <v>770609.33894940244</v>
      </c>
      <c r="C247" s="5">
        <v>34366.161050597555</v>
      </c>
    </row>
    <row r="248" spans="1:3">
      <c r="A248" s="5">
        <v>46</v>
      </c>
      <c r="B248" s="5">
        <v>579912.59981147922</v>
      </c>
      <c r="C248" s="5">
        <v>34887.490188520751</v>
      </c>
    </row>
    <row r="249" spans="1:3">
      <c r="A249" s="5">
        <v>224</v>
      </c>
      <c r="B249" s="5">
        <v>606154.80204193923</v>
      </c>
      <c r="C249" s="5">
        <v>35409.79795806075</v>
      </c>
    </row>
    <row r="250" spans="1:3">
      <c r="A250" s="5">
        <v>108</v>
      </c>
      <c r="B250" s="5">
        <v>673911.87609587726</v>
      </c>
      <c r="C250" s="5">
        <v>35566.513904122752</v>
      </c>
    </row>
    <row r="251" spans="1:3">
      <c r="A251" s="5">
        <v>267</v>
      </c>
      <c r="B251" s="5">
        <v>726267.71756997646</v>
      </c>
      <c r="C251" s="5">
        <v>36060.592430023593</v>
      </c>
    </row>
    <row r="252" spans="1:3">
      <c r="A252" s="5">
        <v>71</v>
      </c>
      <c r="B252" s="5">
        <v>637523.20602231531</v>
      </c>
      <c r="C252" s="5">
        <v>37250.883977684658</v>
      </c>
    </row>
    <row r="253" spans="1:3">
      <c r="A253" s="5">
        <v>121</v>
      </c>
      <c r="B253" s="5">
        <v>616506.96489060426</v>
      </c>
      <c r="C253" s="5">
        <v>37810.125109395711</v>
      </c>
    </row>
    <row r="254" spans="1:3">
      <c r="A254" s="5">
        <v>51</v>
      </c>
      <c r="B254" s="5">
        <v>735507.48701612372</v>
      </c>
      <c r="C254" s="5">
        <v>38307.652983876294</v>
      </c>
    </row>
    <row r="255" spans="1:3">
      <c r="A255" s="5">
        <v>91</v>
      </c>
      <c r="B255" s="5">
        <v>547402.75245654839</v>
      </c>
      <c r="C255" s="5">
        <v>38904.467543451581</v>
      </c>
    </row>
    <row r="256" spans="1:3">
      <c r="A256" s="5">
        <v>196</v>
      </c>
      <c r="B256" s="5">
        <v>652124.19521549763</v>
      </c>
      <c r="C256" s="5">
        <v>39323.23478450242</v>
      </c>
    </row>
    <row r="257" spans="1:3">
      <c r="A257" s="5">
        <v>216</v>
      </c>
      <c r="B257" s="5">
        <v>634369.80962704076</v>
      </c>
      <c r="C257" s="5">
        <v>39919.290372959222</v>
      </c>
    </row>
    <row r="258" spans="1:3">
      <c r="A258" s="5">
        <v>232</v>
      </c>
      <c r="B258" s="5">
        <v>616444.47620178806</v>
      </c>
      <c r="C258" s="5">
        <v>41627.663798211957</v>
      </c>
    </row>
    <row r="259" spans="1:3">
      <c r="A259" s="5">
        <v>140</v>
      </c>
      <c r="B259" s="5">
        <v>673644.79231098155</v>
      </c>
      <c r="C259" s="5">
        <v>42245.737689018482</v>
      </c>
    </row>
    <row r="260" spans="1:3">
      <c r="A260" s="5">
        <v>241</v>
      </c>
      <c r="B260" s="5">
        <v>633919.15787751868</v>
      </c>
      <c r="C260" s="5">
        <v>42418.252122481354</v>
      </c>
    </row>
    <row r="261" spans="1:3">
      <c r="A261" s="5">
        <v>54</v>
      </c>
      <c r="B261" s="5">
        <v>678162.08205117937</v>
      </c>
      <c r="C261" s="5">
        <v>42690.417948820628</v>
      </c>
    </row>
    <row r="262" spans="1:3">
      <c r="A262" s="5">
        <v>100</v>
      </c>
      <c r="B262" s="5">
        <v>592086.1235839146</v>
      </c>
      <c r="C262" s="5">
        <v>43095.226416085381</v>
      </c>
    </row>
    <row r="263" spans="1:3">
      <c r="A263" s="5">
        <v>306</v>
      </c>
      <c r="B263" s="5">
        <v>622046.05214341346</v>
      </c>
      <c r="C263" s="5">
        <v>43296.437856586534</v>
      </c>
    </row>
    <row r="264" spans="1:3">
      <c r="A264" s="5">
        <v>150</v>
      </c>
      <c r="B264" s="5">
        <v>652627.17509608541</v>
      </c>
      <c r="C264" s="5">
        <v>44116.974903914612</v>
      </c>
    </row>
    <row r="265" spans="1:3">
      <c r="A265" s="5">
        <v>164</v>
      </c>
      <c r="B265" s="5">
        <v>781341.18008327845</v>
      </c>
      <c r="C265" s="5">
        <v>44456.729916721582</v>
      </c>
    </row>
    <row r="266" spans="1:3">
      <c r="A266" s="5">
        <v>178</v>
      </c>
      <c r="B266" s="5">
        <v>736891.00660967187</v>
      </c>
      <c r="C266" s="5">
        <v>45064.513390328153</v>
      </c>
    </row>
    <row r="267" spans="1:3">
      <c r="A267" s="5">
        <v>104</v>
      </c>
      <c r="B267" s="5">
        <v>681975.4970793929</v>
      </c>
      <c r="C267" s="5">
        <v>45251.702920607058</v>
      </c>
    </row>
    <row r="268" spans="1:3">
      <c r="A268" s="5">
        <v>229</v>
      </c>
      <c r="B268" s="5">
        <v>825250.71293576434</v>
      </c>
      <c r="C268" s="5">
        <v>45686.687064235681</v>
      </c>
    </row>
    <row r="269" spans="1:3">
      <c r="A269" s="5">
        <v>273</v>
      </c>
      <c r="B269" s="5">
        <v>515726.10993253894</v>
      </c>
      <c r="C269" s="5">
        <v>45871.220067461021</v>
      </c>
    </row>
    <row r="270" spans="1:3">
      <c r="A270" s="5">
        <v>88</v>
      </c>
      <c r="B270" s="5">
        <v>664837.41885173647</v>
      </c>
      <c r="C270" s="5">
        <v>46376.041148263495</v>
      </c>
    </row>
    <row r="271" spans="1:3">
      <c r="A271" s="5">
        <v>240</v>
      </c>
      <c r="B271" s="5">
        <v>728936.00848442374</v>
      </c>
      <c r="C271" s="5">
        <v>48056.921515576309</v>
      </c>
    </row>
    <row r="272" spans="1:3">
      <c r="A272" s="5">
        <v>142</v>
      </c>
      <c r="B272" s="5">
        <v>634329.94127586822</v>
      </c>
      <c r="C272" s="5">
        <v>48309.338724131812</v>
      </c>
    </row>
    <row r="273" spans="1:3">
      <c r="A273" s="5">
        <v>93</v>
      </c>
      <c r="B273" s="5">
        <v>704766.80884421384</v>
      </c>
      <c r="C273" s="5">
        <v>48706.741155786207</v>
      </c>
    </row>
    <row r="274" spans="1:3">
      <c r="A274" s="5">
        <v>126</v>
      </c>
      <c r="B274" s="5">
        <v>792846.53186406125</v>
      </c>
      <c r="C274" s="5">
        <v>49311.388135938789</v>
      </c>
    </row>
    <row r="275" spans="1:3">
      <c r="A275" s="5">
        <v>269</v>
      </c>
      <c r="B275" s="5">
        <v>688892.71534593159</v>
      </c>
      <c r="C275" s="5">
        <v>50481.844654068467</v>
      </c>
    </row>
    <row r="276" spans="1:3">
      <c r="A276" s="5">
        <v>77</v>
      </c>
      <c r="B276" s="5">
        <v>639570.53902884875</v>
      </c>
      <c r="C276" s="5">
        <v>51542.060971151222</v>
      </c>
    </row>
    <row r="277" spans="1:3">
      <c r="A277" s="5">
        <v>113</v>
      </c>
      <c r="B277" s="5">
        <v>821326.1015919518</v>
      </c>
      <c r="C277" s="5">
        <v>52053.918408048223</v>
      </c>
    </row>
    <row r="278" spans="1:3">
      <c r="A278" s="5">
        <v>254</v>
      </c>
      <c r="B278" s="5">
        <v>667858.95634795655</v>
      </c>
      <c r="C278" s="5">
        <v>52220.583652043482</v>
      </c>
    </row>
    <row r="279" spans="1:3">
      <c r="A279" s="5">
        <v>36</v>
      </c>
      <c r="B279" s="5">
        <v>768192.45405246574</v>
      </c>
      <c r="C279" s="5">
        <v>52401.475947534316</v>
      </c>
    </row>
    <row r="280" spans="1:3">
      <c r="A280" s="5">
        <v>63</v>
      </c>
      <c r="B280" s="5">
        <v>708697.50444920838</v>
      </c>
      <c r="C280" s="5">
        <v>53162.685550791561</v>
      </c>
    </row>
    <row r="281" spans="1:3">
      <c r="A281" s="5">
        <v>112</v>
      </c>
      <c r="B281" s="5">
        <v>724973.55706280621</v>
      </c>
      <c r="C281" s="5">
        <v>53424.41293719376</v>
      </c>
    </row>
    <row r="282" spans="1:3">
      <c r="A282" s="5">
        <v>61</v>
      </c>
      <c r="B282" s="5">
        <v>562346.13953796949</v>
      </c>
      <c r="C282" s="5">
        <v>53620.340462030494</v>
      </c>
    </row>
    <row r="283" spans="1:3">
      <c r="A283" s="5">
        <v>94</v>
      </c>
      <c r="B283" s="5">
        <v>784374.52249789436</v>
      </c>
      <c r="C283" s="5">
        <v>53875.79750210559</v>
      </c>
    </row>
    <row r="284" spans="1:3">
      <c r="A284" s="5">
        <v>218</v>
      </c>
      <c r="B284" s="5">
        <v>617449.78385793313</v>
      </c>
      <c r="C284" s="5">
        <v>55898.776142066927</v>
      </c>
    </row>
    <row r="285" spans="1:3">
      <c r="A285" s="5">
        <v>81</v>
      </c>
      <c r="B285" s="5">
        <v>625337.07917143323</v>
      </c>
      <c r="C285" s="5">
        <v>56870.930828566779</v>
      </c>
    </row>
    <row r="286" spans="1:3">
      <c r="A286" s="5">
        <v>78</v>
      </c>
      <c r="B286" s="5">
        <v>719966.69214337482</v>
      </c>
      <c r="C286" s="5">
        <v>56955.477856625221</v>
      </c>
    </row>
    <row r="287" spans="1:3">
      <c r="A287" s="5">
        <v>303</v>
      </c>
      <c r="B287" s="5">
        <v>723099.05409637268</v>
      </c>
      <c r="C287" s="5">
        <v>57481.895903627272</v>
      </c>
    </row>
    <row r="288" spans="1:3">
      <c r="A288" s="5">
        <v>205</v>
      </c>
      <c r="B288" s="5">
        <v>737297.5391032811</v>
      </c>
      <c r="C288" s="5">
        <v>58166.93089671887</v>
      </c>
    </row>
    <row r="289" spans="1:3">
      <c r="A289" s="5">
        <v>186</v>
      </c>
      <c r="B289" s="5">
        <v>704351.83174468856</v>
      </c>
      <c r="C289" s="5">
        <v>61555.11825531139</v>
      </c>
    </row>
    <row r="290" spans="1:3">
      <c r="A290" s="5">
        <v>138</v>
      </c>
      <c r="B290" s="5">
        <v>695228.27529788658</v>
      </c>
      <c r="C290" s="5">
        <v>63599.364702113438</v>
      </c>
    </row>
    <row r="291" spans="1:3">
      <c r="A291" s="5">
        <v>159</v>
      </c>
      <c r="B291" s="5">
        <v>556503.20086488978</v>
      </c>
      <c r="C291" s="5">
        <v>64469.829135110253</v>
      </c>
    </row>
    <row r="292" spans="1:3">
      <c r="A292" s="5">
        <v>74</v>
      </c>
      <c r="B292" s="5">
        <v>723436.66388766468</v>
      </c>
      <c r="C292" s="5">
        <v>64651.016112335376</v>
      </c>
    </row>
    <row r="293" spans="1:3">
      <c r="A293" s="5">
        <v>259</v>
      </c>
      <c r="B293" s="5">
        <v>710397.59752492141</v>
      </c>
      <c r="C293" s="5">
        <v>65712.722475078539</v>
      </c>
    </row>
    <row r="294" spans="1:3">
      <c r="A294" s="5">
        <v>7</v>
      </c>
      <c r="B294" s="5">
        <v>783721.00282192149</v>
      </c>
      <c r="C294" s="5">
        <v>66443.257178078522</v>
      </c>
    </row>
    <row r="295" spans="1:3">
      <c r="A295" s="5">
        <v>11</v>
      </c>
      <c r="B295" s="5">
        <v>842628.98684648389</v>
      </c>
      <c r="C295" s="5">
        <v>68162.953153516049</v>
      </c>
    </row>
    <row r="296" spans="1:3">
      <c r="A296" s="5">
        <v>199</v>
      </c>
      <c r="B296" s="5">
        <v>667541.12441982154</v>
      </c>
      <c r="C296" s="5">
        <v>68245.515580178471</v>
      </c>
    </row>
    <row r="297" spans="1:3">
      <c r="A297" s="5">
        <v>68</v>
      </c>
      <c r="B297" s="5">
        <v>593043.72221032588</v>
      </c>
      <c r="C297" s="5">
        <v>68883.417789674131</v>
      </c>
    </row>
    <row r="298" spans="1:3">
      <c r="A298" s="5">
        <v>262</v>
      </c>
      <c r="B298" s="5">
        <v>608281.67129935219</v>
      </c>
      <c r="C298" s="5">
        <v>69358.978700647829</v>
      </c>
    </row>
    <row r="299" spans="1:3">
      <c r="A299" s="5">
        <v>60</v>
      </c>
      <c r="B299" s="5">
        <v>679359.84068790346</v>
      </c>
      <c r="C299" s="5">
        <v>70199.869312096504</v>
      </c>
    </row>
    <row r="300" spans="1:3">
      <c r="A300" s="5">
        <v>42</v>
      </c>
      <c r="B300" s="5">
        <v>586968.5427732172</v>
      </c>
      <c r="C300" s="5">
        <v>70460.637226782856</v>
      </c>
    </row>
    <row r="301" spans="1:3">
      <c r="A301" s="5">
        <v>179</v>
      </c>
      <c r="B301" s="5">
        <v>824870.01645121712</v>
      </c>
      <c r="C301" s="5">
        <v>73161.02354878292</v>
      </c>
    </row>
    <row r="302" spans="1:3">
      <c r="A302" s="5">
        <v>158</v>
      </c>
      <c r="B302" s="5">
        <v>650311.38324192597</v>
      </c>
      <c r="C302" s="5">
        <v>73904.686758073978</v>
      </c>
    </row>
    <row r="303" spans="1:3">
      <c r="A303" s="5">
        <v>233</v>
      </c>
      <c r="B303" s="5">
        <v>648551.68365780171</v>
      </c>
      <c r="C303" s="5">
        <v>74753.426342198276</v>
      </c>
    </row>
    <row r="304" spans="1:3">
      <c r="A304" s="5">
        <v>97</v>
      </c>
      <c r="B304" s="5">
        <v>656563.38862669992</v>
      </c>
      <c r="C304" s="5">
        <v>78946.011373300105</v>
      </c>
    </row>
    <row r="305" spans="1:3">
      <c r="A305" s="5">
        <v>117</v>
      </c>
      <c r="B305" s="5">
        <v>741259.89784254786</v>
      </c>
      <c r="C305" s="5">
        <v>79259.142157452181</v>
      </c>
    </row>
    <row r="306" spans="1:3">
      <c r="A306" s="5">
        <v>177</v>
      </c>
      <c r="B306" s="5">
        <v>703050.29725442687</v>
      </c>
      <c r="C306" s="5">
        <v>80531.70274557313</v>
      </c>
    </row>
    <row r="307" spans="1:3">
      <c r="A307" s="5">
        <v>161</v>
      </c>
      <c r="B307" s="5">
        <v>696632.95149383822</v>
      </c>
      <c r="C307" s="5">
        <v>81665.928506161785</v>
      </c>
    </row>
    <row r="308" spans="1:3">
      <c r="A308" s="5">
        <v>8</v>
      </c>
      <c r="B308" s="5">
        <v>848344.83755838394</v>
      </c>
      <c r="C308" s="5">
        <v>82236.862441616016</v>
      </c>
    </row>
    <row r="309" spans="1:3">
      <c r="A309" s="5">
        <v>106</v>
      </c>
      <c r="B309" s="5">
        <v>712032.37959519564</v>
      </c>
      <c r="C309" s="5">
        <v>83121.460404804326</v>
      </c>
    </row>
    <row r="310" spans="1:3">
      <c r="A310" s="5">
        <v>290</v>
      </c>
      <c r="B310" s="5">
        <v>729175.19140021177</v>
      </c>
      <c r="C310" s="5">
        <v>84141.518599788193</v>
      </c>
    </row>
    <row r="311" spans="1:3">
      <c r="A311" s="5">
        <v>82</v>
      </c>
      <c r="B311" s="5">
        <v>639062.86812657432</v>
      </c>
      <c r="C311" s="5">
        <v>88178.991873425664</v>
      </c>
    </row>
    <row r="312" spans="1:3">
      <c r="A312" s="5">
        <v>124</v>
      </c>
      <c r="B312" s="5">
        <v>825327.30613571301</v>
      </c>
      <c r="C312" s="5">
        <v>89216.863864287036</v>
      </c>
    </row>
    <row r="313" spans="1:3">
      <c r="A313" s="5">
        <v>297</v>
      </c>
      <c r="B313" s="5">
        <v>673893.72362096526</v>
      </c>
      <c r="C313" s="5">
        <v>89268.726379034691</v>
      </c>
    </row>
    <row r="314" spans="1:3">
      <c r="A314" s="5">
        <v>201</v>
      </c>
      <c r="B314" s="5">
        <v>697329.80336737901</v>
      </c>
      <c r="C314" s="5">
        <v>90385.706632621004</v>
      </c>
    </row>
    <row r="315" spans="1:3">
      <c r="A315" s="5">
        <v>275</v>
      </c>
      <c r="B315" s="5">
        <v>595788.39461083128</v>
      </c>
      <c r="C315" s="5">
        <v>90949.475389168714</v>
      </c>
    </row>
    <row r="316" spans="1:3">
      <c r="A316" s="5">
        <v>103</v>
      </c>
      <c r="B316" s="5">
        <v>533969.80097554333</v>
      </c>
      <c r="C316" s="5">
        <v>91544.239024456707</v>
      </c>
    </row>
    <row r="317" spans="1:3">
      <c r="A317" s="5">
        <v>256</v>
      </c>
      <c r="B317" s="5">
        <v>748186.02943488257</v>
      </c>
      <c r="C317" s="5">
        <v>91922.090565117425</v>
      </c>
    </row>
    <row r="318" spans="1:3">
      <c r="A318" s="5">
        <v>253</v>
      </c>
      <c r="B318" s="5">
        <v>695296.2102438272</v>
      </c>
      <c r="C318" s="5">
        <v>103750.72975617275</v>
      </c>
    </row>
    <row r="319" spans="1:3">
      <c r="A319" s="5">
        <v>111</v>
      </c>
      <c r="B319" s="5">
        <v>597389.01546208444</v>
      </c>
      <c r="C319" s="5">
        <v>116222.14453791559</v>
      </c>
    </row>
    <row r="320" spans="1:3">
      <c r="A320" s="13" t="s">
        <v>151</v>
      </c>
      <c r="B320" s="13" t="s">
        <v>152</v>
      </c>
      <c r="C320" s="13" t="s">
        <v>153</v>
      </c>
    </row>
    <row r="321" spans="1:3">
      <c r="A321" s="1"/>
      <c r="B321" s="1"/>
      <c r="C321" s="1"/>
    </row>
    <row r="322" spans="1:3">
      <c r="A322" s="1" t="s">
        <v>150</v>
      </c>
      <c r="B322" s="1"/>
      <c r="C322" s="1"/>
    </row>
    <row r="323" spans="1:3" ht="15" thickBot="1">
      <c r="A323" s="11"/>
      <c r="B323" s="11"/>
      <c r="C323" s="11"/>
    </row>
  </sheetData>
  <sortState xmlns:xlrd2="http://schemas.microsoft.com/office/spreadsheetml/2017/richdata2" ref="A1:C324">
    <sortCondition ref="C1:C3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AD65-1691-4D3F-A5CE-36A45E3D4441}">
  <dimension ref="A1:E4"/>
  <sheetViews>
    <sheetView tabSelected="1" workbookViewId="0">
      <selection activeCell="D12" sqref="D12"/>
    </sheetView>
  </sheetViews>
  <sheetFormatPr defaultRowHeight="14.25"/>
  <cols>
    <col min="1" max="1" width="21.25" customWidth="1"/>
    <col min="2" max="2" width="19.875" customWidth="1"/>
    <col min="3" max="3" width="16.625" customWidth="1"/>
    <col min="4" max="4" width="14.375" customWidth="1"/>
    <col min="5" max="5" width="21.5" customWidth="1"/>
  </cols>
  <sheetData>
    <row r="1" spans="1:5" ht="30">
      <c r="A1" s="15" t="s">
        <v>154</v>
      </c>
      <c r="B1" s="15" t="s">
        <v>155</v>
      </c>
      <c r="C1" s="15" t="s">
        <v>127</v>
      </c>
      <c r="D1" s="15" t="s">
        <v>156</v>
      </c>
      <c r="E1" s="15" t="s">
        <v>157</v>
      </c>
    </row>
    <row r="2" spans="1:5">
      <c r="A2" s="14" t="s">
        <v>158</v>
      </c>
      <c r="B2" s="14" t="s">
        <v>159</v>
      </c>
      <c r="C2" s="14">
        <v>0.16789999999999999</v>
      </c>
      <c r="D2" s="14" t="s">
        <v>160</v>
      </c>
      <c r="E2" s="14" t="s">
        <v>161</v>
      </c>
    </row>
    <row r="3" spans="1:5">
      <c r="A3" s="14" t="s">
        <v>162</v>
      </c>
      <c r="B3" s="14" t="s">
        <v>163</v>
      </c>
      <c r="C3" s="14">
        <v>5.45E-2</v>
      </c>
      <c r="D3" s="14" t="s">
        <v>160</v>
      </c>
      <c r="E3" s="14" t="s">
        <v>164</v>
      </c>
    </row>
    <row r="4" spans="1:5" ht="71.25">
      <c r="A4" s="14" t="s">
        <v>165</v>
      </c>
      <c r="B4" s="14" t="s">
        <v>166</v>
      </c>
      <c r="C4" s="14">
        <v>0.80830000000000002</v>
      </c>
      <c r="D4" s="14" t="s">
        <v>160</v>
      </c>
      <c r="E4" s="14" t="s">
        <v>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7778-B8A7-4822-887F-12B9579F8A6F}">
  <dimension ref="A1:AE321"/>
  <sheetViews>
    <sheetView topLeftCell="N2" workbookViewId="0">
      <selection activeCell="AE2" sqref="AE1:AE1048576"/>
    </sheetView>
  </sheetViews>
  <sheetFormatPr defaultRowHeight="14.25"/>
  <cols>
    <col min="1" max="14" width="16" customWidth="1"/>
    <col min="16" max="16" width="12.125" bestFit="1" customWidth="1"/>
    <col min="17" max="17" width="13.375" bestFit="1" customWidth="1"/>
    <col min="18" max="18" width="13.625" bestFit="1" customWidth="1"/>
    <col min="20" max="20" width="17.125" customWidth="1"/>
    <col min="21" max="21" width="16.625" customWidth="1"/>
    <col min="22" max="22" width="15" customWidth="1"/>
    <col min="29" max="30" width="16" customWidth="1"/>
    <col min="31" max="31" width="13.375" bestFit="1" customWidth="1"/>
  </cols>
  <sheetData>
    <row r="1" spans="1:31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118</v>
      </c>
      <c r="Q1" s="2" t="s">
        <v>119</v>
      </c>
      <c r="R1" s="2" t="s">
        <v>120</v>
      </c>
      <c r="T1" t="s">
        <v>121</v>
      </c>
      <c r="U1" t="s">
        <v>122</v>
      </c>
      <c r="V1" t="s">
        <v>123</v>
      </c>
      <c r="AA1" s="2" t="s">
        <v>4</v>
      </c>
      <c r="AB1" s="2" t="s">
        <v>5</v>
      </c>
      <c r="AC1" s="2" t="s">
        <v>8</v>
      </c>
      <c r="AD1" s="2" t="s">
        <v>11</v>
      </c>
      <c r="AE1" s="2" t="s">
        <v>119</v>
      </c>
    </row>
    <row r="2" spans="1:31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P2">
        <f>IF(C2="East",1,0)</f>
        <v>1</v>
      </c>
      <c r="Q2">
        <f>IF(C2="North",1,0)</f>
        <v>0</v>
      </c>
      <c r="R2">
        <f>IF(C2="South",1,0)</f>
        <v>0</v>
      </c>
      <c r="T2">
        <f>IF(D2="Residential",1,0)</f>
        <v>1</v>
      </c>
      <c r="U2">
        <f>IF(D2="High Street",1,0)</f>
        <v>0</v>
      </c>
      <c r="V2">
        <f>IF(D2="Airport",1,0)</f>
        <v>0</v>
      </c>
      <c r="AA2">
        <v>70389.11</v>
      </c>
      <c r="AB2">
        <v>8302</v>
      </c>
      <c r="AC2">
        <v>75</v>
      </c>
      <c r="AD2">
        <v>3.1</v>
      </c>
      <c r="AE2">
        <f>IF(Q2="North",1,0)</f>
        <v>0</v>
      </c>
    </row>
    <row r="3" spans="1:31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P3">
        <f t="shared" ref="P3:P66" si="0">IF(C3="East",1,0)</f>
        <v>1</v>
      </c>
      <c r="Q3">
        <f t="shared" ref="Q3:Q66" si="1">IF(C3="North",1,0)</f>
        <v>0</v>
      </c>
      <c r="R3">
        <f t="shared" ref="R3:R66" si="2">IF(C3="South",1,0)</f>
        <v>0</v>
      </c>
      <c r="T3">
        <f t="shared" ref="T3:T66" si="3">IF(D3="Residential",1,0)</f>
        <v>1</v>
      </c>
      <c r="U3">
        <f t="shared" ref="U3:U66" si="4">IF(D3="High Street",1,0)</f>
        <v>0</v>
      </c>
      <c r="V3">
        <f t="shared" ref="V3:V66" si="5">IF(D3="Airport",1,0)</f>
        <v>0</v>
      </c>
      <c r="AA3">
        <v>43827.89</v>
      </c>
      <c r="AB3">
        <v>8487</v>
      </c>
      <c r="AC3">
        <v>84.4</v>
      </c>
      <c r="AD3">
        <v>2.8</v>
      </c>
      <c r="AE3">
        <f t="shared" ref="AE3:AE66" si="6">IF(Q3="North",1,0)</f>
        <v>0</v>
      </c>
    </row>
    <row r="4" spans="1:31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P4">
        <f t="shared" si="0"/>
        <v>1</v>
      </c>
      <c r="Q4">
        <f t="shared" si="1"/>
        <v>0</v>
      </c>
      <c r="R4">
        <f t="shared" si="2"/>
        <v>0</v>
      </c>
      <c r="T4">
        <f t="shared" si="3"/>
        <v>1</v>
      </c>
      <c r="U4">
        <f t="shared" si="4"/>
        <v>0</v>
      </c>
      <c r="V4">
        <f t="shared" si="5"/>
        <v>0</v>
      </c>
      <c r="AA4">
        <v>59921.75</v>
      </c>
      <c r="AB4">
        <v>9113</v>
      </c>
      <c r="AC4">
        <v>88</v>
      </c>
      <c r="AD4">
        <v>3.2</v>
      </c>
      <c r="AE4">
        <f t="shared" si="6"/>
        <v>0</v>
      </c>
    </row>
    <row r="5" spans="1:31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P5">
        <f t="shared" si="0"/>
        <v>1</v>
      </c>
      <c r="Q5">
        <f t="shared" si="1"/>
        <v>0</v>
      </c>
      <c r="R5">
        <f t="shared" si="2"/>
        <v>0</v>
      </c>
      <c r="T5">
        <f t="shared" si="3"/>
        <v>1</v>
      </c>
      <c r="U5">
        <f t="shared" si="4"/>
        <v>0</v>
      </c>
      <c r="V5">
        <f t="shared" si="5"/>
        <v>0</v>
      </c>
      <c r="AA5">
        <v>56856.63</v>
      </c>
      <c r="AB5">
        <v>9431</v>
      </c>
      <c r="AC5">
        <v>86.9</v>
      </c>
      <c r="AD5">
        <v>3.4</v>
      </c>
      <c r="AE5">
        <f t="shared" si="6"/>
        <v>0</v>
      </c>
    </row>
    <row r="6" spans="1:31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P6">
        <f t="shared" si="0"/>
        <v>1</v>
      </c>
      <c r="Q6">
        <f t="shared" si="1"/>
        <v>0</v>
      </c>
      <c r="R6">
        <f t="shared" si="2"/>
        <v>0</v>
      </c>
      <c r="T6">
        <f t="shared" si="3"/>
        <v>0</v>
      </c>
      <c r="U6">
        <f t="shared" si="4"/>
        <v>1</v>
      </c>
      <c r="V6">
        <f t="shared" si="5"/>
        <v>0</v>
      </c>
      <c r="AA6">
        <v>48412.639999999999</v>
      </c>
      <c r="AB6">
        <v>9545</v>
      </c>
      <c r="AC6">
        <v>97.6</v>
      </c>
      <c r="AD6">
        <v>4.2</v>
      </c>
      <c r="AE6">
        <f t="shared" si="6"/>
        <v>0</v>
      </c>
    </row>
    <row r="7" spans="1:31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P7">
        <f t="shared" si="0"/>
        <v>1</v>
      </c>
      <c r="Q7">
        <f t="shared" si="1"/>
        <v>0</v>
      </c>
      <c r="R7">
        <f t="shared" si="2"/>
        <v>0</v>
      </c>
      <c r="T7">
        <f t="shared" si="3"/>
        <v>0</v>
      </c>
      <c r="U7">
        <f t="shared" si="4"/>
        <v>1</v>
      </c>
      <c r="V7">
        <f t="shared" si="5"/>
        <v>0</v>
      </c>
      <c r="AA7">
        <v>64811.21</v>
      </c>
      <c r="AB7">
        <v>9792</v>
      </c>
      <c r="AC7">
        <v>84.2</v>
      </c>
      <c r="AD7">
        <v>4.2</v>
      </c>
      <c r="AE7">
        <f t="shared" si="6"/>
        <v>0</v>
      </c>
    </row>
    <row r="8" spans="1:31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P8">
        <f t="shared" si="0"/>
        <v>1</v>
      </c>
      <c r="Q8">
        <f t="shared" si="1"/>
        <v>0</v>
      </c>
      <c r="R8">
        <f t="shared" si="2"/>
        <v>0</v>
      </c>
      <c r="T8">
        <f t="shared" si="3"/>
        <v>0</v>
      </c>
      <c r="U8">
        <f t="shared" si="4"/>
        <v>1</v>
      </c>
      <c r="V8">
        <f t="shared" si="5"/>
        <v>0</v>
      </c>
      <c r="AA8">
        <v>46213.45</v>
      </c>
      <c r="AB8">
        <v>10616</v>
      </c>
      <c r="AC8">
        <v>85.2</v>
      </c>
      <c r="AD8">
        <v>4.0999999999999996</v>
      </c>
      <c r="AE8">
        <f t="shared" si="6"/>
        <v>0</v>
      </c>
    </row>
    <row r="9" spans="1:31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P9">
        <f t="shared" si="0"/>
        <v>1</v>
      </c>
      <c r="Q9">
        <f t="shared" si="1"/>
        <v>0</v>
      </c>
      <c r="R9">
        <f t="shared" si="2"/>
        <v>0</v>
      </c>
      <c r="T9">
        <f t="shared" si="3"/>
        <v>0</v>
      </c>
      <c r="U9">
        <f t="shared" si="4"/>
        <v>1</v>
      </c>
      <c r="V9">
        <f t="shared" si="5"/>
        <v>0</v>
      </c>
      <c r="AA9">
        <v>68148.52</v>
      </c>
      <c r="AB9">
        <v>8567</v>
      </c>
      <c r="AC9">
        <v>95.6</v>
      </c>
      <c r="AD9">
        <v>3.9</v>
      </c>
      <c r="AE9">
        <f t="shared" si="6"/>
        <v>0</v>
      </c>
    </row>
    <row r="10" spans="1:31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P10">
        <f t="shared" si="0"/>
        <v>0</v>
      </c>
      <c r="Q10">
        <f t="shared" si="1"/>
        <v>1</v>
      </c>
      <c r="R10">
        <f t="shared" si="2"/>
        <v>0</v>
      </c>
      <c r="T10">
        <f t="shared" si="3"/>
        <v>0</v>
      </c>
      <c r="U10">
        <f t="shared" si="4"/>
        <v>0</v>
      </c>
      <c r="V10">
        <f t="shared" si="5"/>
        <v>1</v>
      </c>
      <c r="AA10">
        <v>71838.86</v>
      </c>
      <c r="AB10">
        <v>10979</v>
      </c>
      <c r="AC10">
        <v>88.6</v>
      </c>
      <c r="AD10">
        <v>3.8</v>
      </c>
      <c r="AE10">
        <f t="shared" si="6"/>
        <v>0</v>
      </c>
    </row>
    <row r="11" spans="1:31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P11">
        <f t="shared" si="0"/>
        <v>0</v>
      </c>
      <c r="Q11">
        <f t="shared" si="1"/>
        <v>1</v>
      </c>
      <c r="R11">
        <f t="shared" si="2"/>
        <v>0</v>
      </c>
      <c r="T11">
        <f t="shared" si="3"/>
        <v>0</v>
      </c>
      <c r="U11">
        <f t="shared" si="4"/>
        <v>0</v>
      </c>
      <c r="V11">
        <f t="shared" si="5"/>
        <v>1</v>
      </c>
      <c r="AA11">
        <v>68133.440000000002</v>
      </c>
      <c r="AB11">
        <v>9459</v>
      </c>
      <c r="AC11">
        <v>85</v>
      </c>
      <c r="AD11">
        <v>4.2</v>
      </c>
      <c r="AE11">
        <f t="shared" si="6"/>
        <v>0</v>
      </c>
    </row>
    <row r="12" spans="1:31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P12">
        <f t="shared" si="0"/>
        <v>0</v>
      </c>
      <c r="Q12">
        <f t="shared" si="1"/>
        <v>1</v>
      </c>
      <c r="R12">
        <f t="shared" si="2"/>
        <v>0</v>
      </c>
      <c r="T12">
        <f t="shared" si="3"/>
        <v>0</v>
      </c>
      <c r="U12">
        <f t="shared" si="4"/>
        <v>0</v>
      </c>
      <c r="V12">
        <f t="shared" si="5"/>
        <v>1</v>
      </c>
      <c r="AA12">
        <v>34285.21</v>
      </c>
      <c r="AB12">
        <v>9172</v>
      </c>
      <c r="AC12">
        <v>88.3</v>
      </c>
      <c r="AD12">
        <v>3.8</v>
      </c>
      <c r="AE12">
        <f t="shared" si="6"/>
        <v>0</v>
      </c>
    </row>
    <row r="13" spans="1:31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P13">
        <f t="shared" si="0"/>
        <v>0</v>
      </c>
      <c r="Q13">
        <f t="shared" si="1"/>
        <v>1</v>
      </c>
      <c r="R13">
        <f t="shared" si="2"/>
        <v>0</v>
      </c>
      <c r="T13">
        <f t="shared" si="3"/>
        <v>0</v>
      </c>
      <c r="U13">
        <f t="shared" si="4"/>
        <v>0</v>
      </c>
      <c r="V13">
        <f t="shared" si="5"/>
        <v>1</v>
      </c>
      <c r="AA13">
        <v>67979.88</v>
      </c>
      <c r="AB13">
        <v>11230</v>
      </c>
      <c r="AC13">
        <v>85.3</v>
      </c>
      <c r="AD13">
        <v>3.8</v>
      </c>
      <c r="AE13">
        <f t="shared" si="6"/>
        <v>0</v>
      </c>
    </row>
    <row r="14" spans="1:31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P14">
        <f t="shared" si="0"/>
        <v>1</v>
      </c>
      <c r="Q14">
        <f t="shared" si="1"/>
        <v>0</v>
      </c>
      <c r="R14">
        <f t="shared" si="2"/>
        <v>0</v>
      </c>
      <c r="T14">
        <f t="shared" si="3"/>
        <v>1</v>
      </c>
      <c r="U14">
        <f t="shared" si="4"/>
        <v>0</v>
      </c>
      <c r="V14">
        <f t="shared" si="5"/>
        <v>0</v>
      </c>
      <c r="AA14">
        <v>71828.259999999995</v>
      </c>
      <c r="AB14">
        <v>12775</v>
      </c>
      <c r="AC14">
        <v>81.7</v>
      </c>
      <c r="AD14">
        <v>4.2</v>
      </c>
      <c r="AE14">
        <f t="shared" si="6"/>
        <v>0</v>
      </c>
    </row>
    <row r="15" spans="1:31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P15">
        <f t="shared" si="0"/>
        <v>1</v>
      </c>
      <c r="Q15">
        <f t="shared" si="1"/>
        <v>0</v>
      </c>
      <c r="R15">
        <f t="shared" si="2"/>
        <v>0</v>
      </c>
      <c r="T15">
        <f t="shared" si="3"/>
        <v>1</v>
      </c>
      <c r="U15">
        <f t="shared" si="4"/>
        <v>0</v>
      </c>
      <c r="V15">
        <f t="shared" si="5"/>
        <v>0</v>
      </c>
      <c r="AA15">
        <v>55716.82</v>
      </c>
      <c r="AB15">
        <v>10054</v>
      </c>
      <c r="AC15">
        <v>84.9</v>
      </c>
      <c r="AD15">
        <v>4.3</v>
      </c>
      <c r="AE15">
        <f t="shared" si="6"/>
        <v>0</v>
      </c>
    </row>
    <row r="16" spans="1:31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P16">
        <f t="shared" si="0"/>
        <v>1</v>
      </c>
      <c r="Q16">
        <f t="shared" si="1"/>
        <v>0</v>
      </c>
      <c r="R16">
        <f t="shared" si="2"/>
        <v>0</v>
      </c>
      <c r="T16">
        <f t="shared" si="3"/>
        <v>1</v>
      </c>
      <c r="U16">
        <f t="shared" si="4"/>
        <v>0</v>
      </c>
      <c r="V16">
        <f t="shared" si="5"/>
        <v>0</v>
      </c>
      <c r="AA16">
        <v>59909.51</v>
      </c>
      <c r="AB16">
        <v>8895</v>
      </c>
      <c r="AC16">
        <v>88.8</v>
      </c>
      <c r="AD16">
        <v>4.3</v>
      </c>
      <c r="AE16">
        <f t="shared" si="6"/>
        <v>0</v>
      </c>
    </row>
    <row r="17" spans="1:31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P17">
        <f t="shared" si="0"/>
        <v>1</v>
      </c>
      <c r="Q17">
        <f t="shared" si="1"/>
        <v>0</v>
      </c>
      <c r="R17">
        <f t="shared" si="2"/>
        <v>0</v>
      </c>
      <c r="T17">
        <f t="shared" si="3"/>
        <v>1</v>
      </c>
      <c r="U17">
        <f t="shared" si="4"/>
        <v>0</v>
      </c>
      <c r="V17">
        <f t="shared" si="5"/>
        <v>0</v>
      </c>
      <c r="AA17">
        <v>75305.710000000006</v>
      </c>
      <c r="AB17">
        <v>10940</v>
      </c>
      <c r="AC17">
        <v>76.5</v>
      </c>
      <c r="AD17">
        <v>4.5</v>
      </c>
      <c r="AE17">
        <f t="shared" si="6"/>
        <v>0</v>
      </c>
    </row>
    <row r="18" spans="1:31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P18">
        <f t="shared" si="0"/>
        <v>0</v>
      </c>
      <c r="Q18">
        <f t="shared" si="1"/>
        <v>0</v>
      </c>
      <c r="R18">
        <f t="shared" si="2"/>
        <v>1</v>
      </c>
      <c r="T18">
        <f t="shared" si="3"/>
        <v>1</v>
      </c>
      <c r="U18">
        <f t="shared" si="4"/>
        <v>0</v>
      </c>
      <c r="V18">
        <f t="shared" si="5"/>
        <v>0</v>
      </c>
      <c r="AA18">
        <v>48804.22</v>
      </c>
      <c r="AB18">
        <v>7057</v>
      </c>
      <c r="AC18">
        <v>87.7</v>
      </c>
      <c r="AD18">
        <v>3.7</v>
      </c>
      <c r="AE18">
        <f t="shared" si="6"/>
        <v>0</v>
      </c>
    </row>
    <row r="19" spans="1:31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P19">
        <f t="shared" si="0"/>
        <v>0</v>
      </c>
      <c r="Q19">
        <f t="shared" si="1"/>
        <v>0</v>
      </c>
      <c r="R19">
        <f t="shared" si="2"/>
        <v>1</v>
      </c>
      <c r="T19">
        <f t="shared" si="3"/>
        <v>1</v>
      </c>
      <c r="U19">
        <f t="shared" si="4"/>
        <v>0</v>
      </c>
      <c r="V19">
        <f t="shared" si="5"/>
        <v>0</v>
      </c>
      <c r="AA19">
        <v>59117.9</v>
      </c>
      <c r="AB19">
        <v>4263</v>
      </c>
      <c r="AC19">
        <v>87.6</v>
      </c>
      <c r="AD19">
        <v>3.6</v>
      </c>
      <c r="AE19">
        <f t="shared" si="6"/>
        <v>0</v>
      </c>
    </row>
    <row r="20" spans="1:31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P20">
        <f t="shared" si="0"/>
        <v>0</v>
      </c>
      <c r="Q20">
        <f t="shared" si="1"/>
        <v>0</v>
      </c>
      <c r="R20">
        <f t="shared" si="2"/>
        <v>1</v>
      </c>
      <c r="T20">
        <f t="shared" si="3"/>
        <v>1</v>
      </c>
      <c r="U20">
        <f t="shared" si="4"/>
        <v>0</v>
      </c>
      <c r="V20">
        <f t="shared" si="5"/>
        <v>0</v>
      </c>
      <c r="AA20">
        <v>78831.12</v>
      </c>
      <c r="AB20">
        <v>5538</v>
      </c>
      <c r="AC20">
        <v>94.1</v>
      </c>
      <c r="AD20">
        <v>3.9</v>
      </c>
      <c r="AE20">
        <f t="shared" si="6"/>
        <v>0</v>
      </c>
    </row>
    <row r="21" spans="1:31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P21">
        <f t="shared" si="0"/>
        <v>0</v>
      </c>
      <c r="Q21">
        <f t="shared" si="1"/>
        <v>0</v>
      </c>
      <c r="R21">
        <f t="shared" si="2"/>
        <v>1</v>
      </c>
      <c r="T21">
        <f t="shared" si="3"/>
        <v>1</v>
      </c>
      <c r="U21">
        <f t="shared" si="4"/>
        <v>0</v>
      </c>
      <c r="V21">
        <f t="shared" si="5"/>
        <v>0</v>
      </c>
      <c r="AA21">
        <v>41441.93</v>
      </c>
      <c r="AB21">
        <v>4865</v>
      </c>
      <c r="AC21">
        <v>88.3</v>
      </c>
      <c r="AD21">
        <v>4</v>
      </c>
      <c r="AE21">
        <f t="shared" si="6"/>
        <v>0</v>
      </c>
    </row>
    <row r="22" spans="1:31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P22">
        <f t="shared" si="0"/>
        <v>0</v>
      </c>
      <c r="Q22">
        <f t="shared" si="1"/>
        <v>1</v>
      </c>
      <c r="R22">
        <f t="shared" si="2"/>
        <v>0</v>
      </c>
      <c r="T22">
        <f t="shared" si="3"/>
        <v>1</v>
      </c>
      <c r="U22">
        <f t="shared" si="4"/>
        <v>0</v>
      </c>
      <c r="V22">
        <f t="shared" si="5"/>
        <v>0</v>
      </c>
      <c r="AA22">
        <v>30356.28</v>
      </c>
      <c r="AB22">
        <v>2822</v>
      </c>
      <c r="AC22">
        <v>84.8</v>
      </c>
      <c r="AD22">
        <v>5</v>
      </c>
      <c r="AE22">
        <f t="shared" si="6"/>
        <v>0</v>
      </c>
    </row>
    <row r="23" spans="1:31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P23">
        <f t="shared" si="0"/>
        <v>0</v>
      </c>
      <c r="Q23">
        <f t="shared" si="1"/>
        <v>1</v>
      </c>
      <c r="R23">
        <f t="shared" si="2"/>
        <v>0</v>
      </c>
      <c r="T23">
        <f t="shared" si="3"/>
        <v>1</v>
      </c>
      <c r="U23">
        <f t="shared" si="4"/>
        <v>0</v>
      </c>
      <c r="V23">
        <f t="shared" si="5"/>
        <v>0</v>
      </c>
      <c r="AA23">
        <v>33518.879999999997</v>
      </c>
      <c r="AB23">
        <v>2121</v>
      </c>
      <c r="AC23">
        <v>88.5</v>
      </c>
      <c r="AD23">
        <v>5</v>
      </c>
      <c r="AE23">
        <f t="shared" si="6"/>
        <v>0</v>
      </c>
    </row>
    <row r="24" spans="1:31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P24">
        <f t="shared" si="0"/>
        <v>0</v>
      </c>
      <c r="Q24">
        <f t="shared" si="1"/>
        <v>1</v>
      </c>
      <c r="R24">
        <f t="shared" si="2"/>
        <v>0</v>
      </c>
      <c r="T24">
        <f t="shared" si="3"/>
        <v>1</v>
      </c>
      <c r="U24">
        <f t="shared" si="4"/>
        <v>0</v>
      </c>
      <c r="V24">
        <f t="shared" si="5"/>
        <v>0</v>
      </c>
      <c r="AA24">
        <v>42267.37</v>
      </c>
      <c r="AB24">
        <v>3364</v>
      </c>
      <c r="AC24">
        <v>82</v>
      </c>
      <c r="AD24">
        <v>4.5999999999999996</v>
      </c>
      <c r="AE24">
        <f t="shared" si="6"/>
        <v>0</v>
      </c>
    </row>
    <row r="25" spans="1:31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P25">
        <f t="shared" si="0"/>
        <v>0</v>
      </c>
      <c r="Q25">
        <f t="shared" si="1"/>
        <v>1</v>
      </c>
      <c r="R25">
        <f t="shared" si="2"/>
        <v>0</v>
      </c>
      <c r="T25">
        <f t="shared" si="3"/>
        <v>1</v>
      </c>
      <c r="U25">
        <f t="shared" si="4"/>
        <v>0</v>
      </c>
      <c r="V25">
        <f t="shared" si="5"/>
        <v>0</v>
      </c>
      <c r="AA25">
        <v>62060.43</v>
      </c>
      <c r="AB25">
        <v>2613</v>
      </c>
      <c r="AC25">
        <v>92.1</v>
      </c>
      <c r="AD25">
        <v>4.7</v>
      </c>
      <c r="AE25">
        <f t="shared" si="6"/>
        <v>0</v>
      </c>
    </row>
    <row r="26" spans="1:31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P26">
        <f t="shared" si="0"/>
        <v>0</v>
      </c>
      <c r="Q26">
        <f t="shared" si="1"/>
        <v>0</v>
      </c>
      <c r="R26">
        <f t="shared" si="2"/>
        <v>0</v>
      </c>
      <c r="T26">
        <f t="shared" si="3"/>
        <v>0</v>
      </c>
      <c r="U26">
        <f t="shared" si="4"/>
        <v>0</v>
      </c>
      <c r="V26">
        <f t="shared" si="5"/>
        <v>0</v>
      </c>
      <c r="AA26">
        <v>57696.69</v>
      </c>
      <c r="AB26">
        <v>10218</v>
      </c>
      <c r="AC26">
        <v>94.8</v>
      </c>
      <c r="AD26">
        <v>3.5</v>
      </c>
      <c r="AE26">
        <f t="shared" si="6"/>
        <v>0</v>
      </c>
    </row>
    <row r="27" spans="1:31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P27">
        <f t="shared" si="0"/>
        <v>0</v>
      </c>
      <c r="Q27">
        <f t="shared" si="1"/>
        <v>0</v>
      </c>
      <c r="R27">
        <f t="shared" si="2"/>
        <v>0</v>
      </c>
      <c r="T27">
        <f t="shared" si="3"/>
        <v>0</v>
      </c>
      <c r="U27">
        <f t="shared" si="4"/>
        <v>0</v>
      </c>
      <c r="V27">
        <f t="shared" si="5"/>
        <v>0</v>
      </c>
      <c r="AA27">
        <v>172415.52</v>
      </c>
      <c r="AB27">
        <v>8927</v>
      </c>
      <c r="AC27">
        <v>86.2</v>
      </c>
      <c r="AD27">
        <v>3.9</v>
      </c>
      <c r="AE27">
        <f t="shared" si="6"/>
        <v>0</v>
      </c>
    </row>
    <row r="28" spans="1:31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P28">
        <f t="shared" si="0"/>
        <v>0</v>
      </c>
      <c r="Q28">
        <f t="shared" si="1"/>
        <v>0</v>
      </c>
      <c r="R28">
        <f t="shared" si="2"/>
        <v>0</v>
      </c>
      <c r="T28">
        <f t="shared" si="3"/>
        <v>0</v>
      </c>
      <c r="U28">
        <f t="shared" si="4"/>
        <v>0</v>
      </c>
      <c r="V28">
        <f t="shared" si="5"/>
        <v>0</v>
      </c>
      <c r="AA28">
        <v>55270.52</v>
      </c>
      <c r="AB28">
        <v>9315</v>
      </c>
      <c r="AC28">
        <v>91.9</v>
      </c>
      <c r="AD28">
        <v>4</v>
      </c>
      <c r="AE28">
        <f t="shared" si="6"/>
        <v>0</v>
      </c>
    </row>
    <row r="29" spans="1:31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P29">
        <f t="shared" si="0"/>
        <v>0</v>
      </c>
      <c r="Q29">
        <f t="shared" si="1"/>
        <v>0</v>
      </c>
      <c r="R29">
        <f t="shared" si="2"/>
        <v>0</v>
      </c>
      <c r="T29">
        <f t="shared" si="3"/>
        <v>0</v>
      </c>
      <c r="U29">
        <f t="shared" si="4"/>
        <v>0</v>
      </c>
      <c r="V29">
        <f t="shared" si="5"/>
        <v>0</v>
      </c>
      <c r="AA29">
        <v>52715.1</v>
      </c>
      <c r="AB29">
        <v>7223</v>
      </c>
      <c r="AC29">
        <v>84.2</v>
      </c>
      <c r="AD29">
        <v>3.7</v>
      </c>
      <c r="AE29">
        <f t="shared" si="6"/>
        <v>0</v>
      </c>
    </row>
    <row r="30" spans="1:31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P30">
        <f t="shared" si="0"/>
        <v>1</v>
      </c>
      <c r="Q30">
        <f t="shared" si="1"/>
        <v>0</v>
      </c>
      <c r="R30">
        <f t="shared" si="2"/>
        <v>0</v>
      </c>
      <c r="T30">
        <f t="shared" si="3"/>
        <v>1</v>
      </c>
      <c r="U30">
        <f t="shared" si="4"/>
        <v>0</v>
      </c>
      <c r="V30">
        <f t="shared" si="5"/>
        <v>0</v>
      </c>
      <c r="AA30">
        <v>68600.62</v>
      </c>
      <c r="AB30">
        <v>3988</v>
      </c>
      <c r="AC30">
        <v>85</v>
      </c>
      <c r="AD30">
        <v>3.6</v>
      </c>
      <c r="AE30">
        <f t="shared" si="6"/>
        <v>0</v>
      </c>
    </row>
    <row r="31" spans="1:31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P31">
        <f t="shared" si="0"/>
        <v>1</v>
      </c>
      <c r="Q31">
        <f t="shared" si="1"/>
        <v>0</v>
      </c>
      <c r="R31">
        <f t="shared" si="2"/>
        <v>0</v>
      </c>
      <c r="T31">
        <f t="shared" si="3"/>
        <v>1</v>
      </c>
      <c r="U31">
        <f t="shared" si="4"/>
        <v>0</v>
      </c>
      <c r="V31">
        <f t="shared" si="5"/>
        <v>0</v>
      </c>
      <c r="AA31">
        <v>63176.73</v>
      </c>
      <c r="AB31">
        <v>2390</v>
      </c>
      <c r="AC31">
        <v>87.5</v>
      </c>
      <c r="AD31">
        <v>3.1</v>
      </c>
      <c r="AE31">
        <f t="shared" si="6"/>
        <v>0</v>
      </c>
    </row>
    <row r="32" spans="1:31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P32">
        <f t="shared" si="0"/>
        <v>1</v>
      </c>
      <c r="Q32">
        <f t="shared" si="1"/>
        <v>0</v>
      </c>
      <c r="R32">
        <f t="shared" si="2"/>
        <v>0</v>
      </c>
      <c r="T32">
        <f t="shared" si="3"/>
        <v>1</v>
      </c>
      <c r="U32">
        <f t="shared" si="4"/>
        <v>0</v>
      </c>
      <c r="V32">
        <f t="shared" si="5"/>
        <v>0</v>
      </c>
      <c r="AA32">
        <v>44970.080000000002</v>
      </c>
      <c r="AB32">
        <v>2471</v>
      </c>
      <c r="AC32">
        <v>87.6</v>
      </c>
      <c r="AD32">
        <v>3.7</v>
      </c>
      <c r="AE32">
        <f t="shared" si="6"/>
        <v>0</v>
      </c>
    </row>
    <row r="33" spans="1:31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P33">
        <f t="shared" si="0"/>
        <v>1</v>
      </c>
      <c r="Q33">
        <f t="shared" si="1"/>
        <v>0</v>
      </c>
      <c r="R33">
        <f t="shared" si="2"/>
        <v>0</v>
      </c>
      <c r="T33">
        <f t="shared" si="3"/>
        <v>1</v>
      </c>
      <c r="U33">
        <f t="shared" si="4"/>
        <v>0</v>
      </c>
      <c r="V33">
        <f t="shared" si="5"/>
        <v>0</v>
      </c>
      <c r="AA33">
        <v>69816.350000000006</v>
      </c>
      <c r="AB33">
        <v>971</v>
      </c>
      <c r="AC33">
        <v>89.9</v>
      </c>
      <c r="AD33">
        <v>3.6</v>
      </c>
      <c r="AE33">
        <f t="shared" si="6"/>
        <v>0</v>
      </c>
    </row>
    <row r="34" spans="1:31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P34">
        <f t="shared" si="0"/>
        <v>0</v>
      </c>
      <c r="Q34">
        <f t="shared" si="1"/>
        <v>1</v>
      </c>
      <c r="R34">
        <f t="shared" si="2"/>
        <v>0</v>
      </c>
      <c r="T34">
        <f t="shared" si="3"/>
        <v>1</v>
      </c>
      <c r="U34">
        <f t="shared" si="4"/>
        <v>0</v>
      </c>
      <c r="V34">
        <f t="shared" si="5"/>
        <v>0</v>
      </c>
      <c r="AA34">
        <v>54597.83</v>
      </c>
      <c r="AB34">
        <v>9429</v>
      </c>
      <c r="AC34">
        <v>83.3</v>
      </c>
      <c r="AD34">
        <v>4.2</v>
      </c>
      <c r="AE34">
        <f t="shared" si="6"/>
        <v>0</v>
      </c>
    </row>
    <row r="35" spans="1:31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3.9239999999999999</v>
      </c>
      <c r="M35">
        <v>799477.76000000001</v>
      </c>
      <c r="N35">
        <v>164974.41</v>
      </c>
      <c r="P35">
        <f t="shared" si="0"/>
        <v>0</v>
      </c>
      <c r="Q35">
        <f t="shared" si="1"/>
        <v>1</v>
      </c>
      <c r="R35">
        <f t="shared" si="2"/>
        <v>0</v>
      </c>
      <c r="T35">
        <f t="shared" si="3"/>
        <v>1</v>
      </c>
      <c r="U35">
        <f t="shared" si="4"/>
        <v>0</v>
      </c>
      <c r="V35">
        <f t="shared" si="5"/>
        <v>0</v>
      </c>
      <c r="AA35">
        <v>73771.91</v>
      </c>
      <c r="AB35">
        <v>11695</v>
      </c>
      <c r="AC35">
        <v>84.7</v>
      </c>
      <c r="AD35">
        <v>3.9239999999999999</v>
      </c>
      <c r="AE35">
        <f t="shared" si="6"/>
        <v>0</v>
      </c>
    </row>
    <row r="36" spans="1:31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P36">
        <f t="shared" si="0"/>
        <v>0</v>
      </c>
      <c r="Q36">
        <f t="shared" si="1"/>
        <v>1</v>
      </c>
      <c r="R36">
        <f t="shared" si="2"/>
        <v>0</v>
      </c>
      <c r="T36">
        <f t="shared" si="3"/>
        <v>1</v>
      </c>
      <c r="U36">
        <f t="shared" si="4"/>
        <v>0</v>
      </c>
      <c r="V36">
        <f t="shared" si="5"/>
        <v>0</v>
      </c>
      <c r="AA36">
        <v>74413.88</v>
      </c>
      <c r="AB36">
        <v>9449</v>
      </c>
      <c r="AC36">
        <v>92.1</v>
      </c>
      <c r="AD36">
        <v>3.5</v>
      </c>
      <c r="AE36">
        <f t="shared" si="6"/>
        <v>0</v>
      </c>
    </row>
    <row r="37" spans="1:31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P37">
        <f t="shared" si="0"/>
        <v>0</v>
      </c>
      <c r="Q37">
        <f t="shared" si="1"/>
        <v>1</v>
      </c>
      <c r="R37">
        <f t="shared" si="2"/>
        <v>0</v>
      </c>
      <c r="T37">
        <f t="shared" si="3"/>
        <v>1</v>
      </c>
      <c r="U37">
        <f t="shared" si="4"/>
        <v>0</v>
      </c>
      <c r="V37">
        <f t="shared" si="5"/>
        <v>0</v>
      </c>
      <c r="AA37">
        <v>52483.77</v>
      </c>
      <c r="AB37">
        <v>10453</v>
      </c>
      <c r="AC37">
        <v>99</v>
      </c>
      <c r="AD37">
        <v>3.6</v>
      </c>
      <c r="AE37">
        <f t="shared" si="6"/>
        <v>0</v>
      </c>
    </row>
    <row r="38" spans="1:31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P38">
        <f t="shared" si="0"/>
        <v>0</v>
      </c>
      <c r="Q38">
        <f t="shared" si="1"/>
        <v>1</v>
      </c>
      <c r="R38">
        <f t="shared" si="2"/>
        <v>0</v>
      </c>
      <c r="T38">
        <f t="shared" si="3"/>
        <v>0</v>
      </c>
      <c r="U38">
        <f t="shared" si="4"/>
        <v>0</v>
      </c>
      <c r="V38">
        <f t="shared" si="5"/>
        <v>0</v>
      </c>
      <c r="AA38">
        <v>75269.87</v>
      </c>
      <c r="AB38">
        <v>8838</v>
      </c>
      <c r="AC38">
        <v>83.1</v>
      </c>
      <c r="AD38">
        <v>4.2</v>
      </c>
      <c r="AE38">
        <f t="shared" si="6"/>
        <v>0</v>
      </c>
    </row>
    <row r="39" spans="1:31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P39">
        <f t="shared" si="0"/>
        <v>0</v>
      </c>
      <c r="Q39">
        <f t="shared" si="1"/>
        <v>1</v>
      </c>
      <c r="R39">
        <f t="shared" si="2"/>
        <v>0</v>
      </c>
      <c r="T39">
        <f t="shared" si="3"/>
        <v>0</v>
      </c>
      <c r="U39">
        <f t="shared" si="4"/>
        <v>0</v>
      </c>
      <c r="V39">
        <f t="shared" si="5"/>
        <v>0</v>
      </c>
      <c r="AA39">
        <v>61245.41</v>
      </c>
      <c r="AB39">
        <v>8156</v>
      </c>
      <c r="AC39">
        <v>92.9</v>
      </c>
      <c r="AD39">
        <v>3.8</v>
      </c>
      <c r="AE39">
        <f t="shared" si="6"/>
        <v>0</v>
      </c>
    </row>
    <row r="40" spans="1:31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P40">
        <f t="shared" si="0"/>
        <v>0</v>
      </c>
      <c r="Q40">
        <f t="shared" si="1"/>
        <v>1</v>
      </c>
      <c r="R40">
        <f t="shared" si="2"/>
        <v>0</v>
      </c>
      <c r="T40">
        <f t="shared" si="3"/>
        <v>0</v>
      </c>
      <c r="U40">
        <f t="shared" si="4"/>
        <v>0</v>
      </c>
      <c r="V40">
        <f t="shared" si="5"/>
        <v>0</v>
      </c>
      <c r="AA40">
        <v>93381.26</v>
      </c>
      <c r="AB40">
        <v>7562</v>
      </c>
      <c r="AC40">
        <v>82.9</v>
      </c>
      <c r="AD40">
        <v>4</v>
      </c>
      <c r="AE40">
        <f t="shared" si="6"/>
        <v>0</v>
      </c>
    </row>
    <row r="41" spans="1:31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P41">
        <f t="shared" si="0"/>
        <v>0</v>
      </c>
      <c r="Q41">
        <f t="shared" si="1"/>
        <v>1</v>
      </c>
      <c r="R41">
        <f t="shared" si="2"/>
        <v>0</v>
      </c>
      <c r="T41">
        <f t="shared" si="3"/>
        <v>0</v>
      </c>
      <c r="U41">
        <f t="shared" si="4"/>
        <v>0</v>
      </c>
      <c r="V41">
        <f t="shared" si="5"/>
        <v>0</v>
      </c>
      <c r="AA41">
        <v>65012.19</v>
      </c>
      <c r="AB41">
        <v>9598</v>
      </c>
      <c r="AC41">
        <v>98.3</v>
      </c>
      <c r="AD41">
        <v>3.8</v>
      </c>
      <c r="AE41">
        <f t="shared" si="6"/>
        <v>0</v>
      </c>
    </row>
    <row r="42" spans="1:31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P42">
        <f t="shared" si="0"/>
        <v>1</v>
      </c>
      <c r="Q42">
        <f t="shared" si="1"/>
        <v>0</v>
      </c>
      <c r="R42">
        <f t="shared" si="2"/>
        <v>0</v>
      </c>
      <c r="T42">
        <f t="shared" si="3"/>
        <v>0</v>
      </c>
      <c r="U42">
        <f t="shared" si="4"/>
        <v>0</v>
      </c>
      <c r="V42">
        <f t="shared" si="5"/>
        <v>0</v>
      </c>
      <c r="AA42">
        <v>40462.94</v>
      </c>
      <c r="AB42">
        <v>3660</v>
      </c>
      <c r="AC42">
        <v>95.2</v>
      </c>
      <c r="AD42">
        <v>4.4000000000000004</v>
      </c>
      <c r="AE42">
        <f t="shared" si="6"/>
        <v>0</v>
      </c>
    </row>
    <row r="43" spans="1:31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P43">
        <f t="shared" si="0"/>
        <v>1</v>
      </c>
      <c r="Q43">
        <f t="shared" si="1"/>
        <v>0</v>
      </c>
      <c r="R43">
        <f t="shared" si="2"/>
        <v>0</v>
      </c>
      <c r="T43">
        <f t="shared" si="3"/>
        <v>0</v>
      </c>
      <c r="U43">
        <f t="shared" si="4"/>
        <v>0</v>
      </c>
      <c r="V43">
        <f t="shared" si="5"/>
        <v>0</v>
      </c>
      <c r="AA43">
        <v>46123.88</v>
      </c>
      <c r="AB43">
        <v>3227</v>
      </c>
      <c r="AC43">
        <v>75.400000000000006</v>
      </c>
      <c r="AD43">
        <v>4.4000000000000004</v>
      </c>
      <c r="AE43">
        <f t="shared" si="6"/>
        <v>0</v>
      </c>
    </row>
    <row r="44" spans="1:31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P44">
        <f t="shared" si="0"/>
        <v>1</v>
      </c>
      <c r="Q44">
        <f t="shared" si="1"/>
        <v>0</v>
      </c>
      <c r="R44">
        <f t="shared" si="2"/>
        <v>0</v>
      </c>
      <c r="T44">
        <f t="shared" si="3"/>
        <v>0</v>
      </c>
      <c r="U44">
        <f t="shared" si="4"/>
        <v>0</v>
      </c>
      <c r="V44">
        <f t="shared" si="5"/>
        <v>0</v>
      </c>
      <c r="AA44">
        <v>68077.539999999994</v>
      </c>
      <c r="AB44">
        <v>3360</v>
      </c>
      <c r="AC44">
        <v>88.2</v>
      </c>
      <c r="AD44">
        <v>4</v>
      </c>
      <c r="AE44">
        <f t="shared" si="6"/>
        <v>0</v>
      </c>
    </row>
    <row r="45" spans="1:31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P45">
        <f t="shared" si="0"/>
        <v>1</v>
      </c>
      <c r="Q45">
        <f t="shared" si="1"/>
        <v>0</v>
      </c>
      <c r="R45">
        <f t="shared" si="2"/>
        <v>0</v>
      </c>
      <c r="T45">
        <f t="shared" si="3"/>
        <v>0</v>
      </c>
      <c r="U45">
        <f t="shared" si="4"/>
        <v>0</v>
      </c>
      <c r="V45">
        <f t="shared" si="5"/>
        <v>0</v>
      </c>
      <c r="AA45">
        <v>64882.14</v>
      </c>
      <c r="AB45">
        <v>3642</v>
      </c>
      <c r="AC45">
        <v>87.8</v>
      </c>
      <c r="AD45">
        <v>4.2</v>
      </c>
      <c r="AE45">
        <f t="shared" si="6"/>
        <v>0</v>
      </c>
    </row>
    <row r="46" spans="1:31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P46">
        <f t="shared" si="0"/>
        <v>0</v>
      </c>
      <c r="Q46">
        <f t="shared" si="1"/>
        <v>0</v>
      </c>
      <c r="R46">
        <f t="shared" si="2"/>
        <v>0</v>
      </c>
      <c r="T46">
        <f t="shared" si="3"/>
        <v>1</v>
      </c>
      <c r="U46">
        <f t="shared" si="4"/>
        <v>0</v>
      </c>
      <c r="V46">
        <f t="shared" si="5"/>
        <v>0</v>
      </c>
      <c r="AA46">
        <v>138855.51</v>
      </c>
      <c r="AB46">
        <v>5145</v>
      </c>
      <c r="AC46">
        <v>88.2</v>
      </c>
      <c r="AD46">
        <v>3.2</v>
      </c>
      <c r="AE46">
        <f t="shared" si="6"/>
        <v>0</v>
      </c>
    </row>
    <row r="47" spans="1:31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P47">
        <f t="shared" si="0"/>
        <v>0</v>
      </c>
      <c r="Q47">
        <f t="shared" si="1"/>
        <v>0</v>
      </c>
      <c r="R47">
        <f t="shared" si="2"/>
        <v>0</v>
      </c>
      <c r="T47">
        <f t="shared" si="3"/>
        <v>1</v>
      </c>
      <c r="U47">
        <f t="shared" si="4"/>
        <v>0</v>
      </c>
      <c r="V47">
        <f t="shared" si="5"/>
        <v>0</v>
      </c>
      <c r="AA47">
        <v>63630.21</v>
      </c>
      <c r="AB47">
        <v>4460</v>
      </c>
      <c r="AC47">
        <v>98.6</v>
      </c>
      <c r="AD47">
        <v>3.5</v>
      </c>
      <c r="AE47">
        <f t="shared" si="6"/>
        <v>0</v>
      </c>
    </row>
    <row r="48" spans="1:31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P48">
        <f t="shared" si="0"/>
        <v>0</v>
      </c>
      <c r="Q48">
        <f t="shared" si="1"/>
        <v>0</v>
      </c>
      <c r="R48">
        <f t="shared" si="2"/>
        <v>0</v>
      </c>
      <c r="T48">
        <f t="shared" si="3"/>
        <v>1</v>
      </c>
      <c r="U48">
        <f t="shared" si="4"/>
        <v>0</v>
      </c>
      <c r="V48">
        <f t="shared" si="5"/>
        <v>0</v>
      </c>
      <c r="AA48">
        <v>50043.65</v>
      </c>
      <c r="AB48">
        <v>3804</v>
      </c>
      <c r="AC48">
        <v>90.9</v>
      </c>
      <c r="AD48">
        <v>3.2</v>
      </c>
      <c r="AE48">
        <f t="shared" si="6"/>
        <v>0</v>
      </c>
    </row>
    <row r="49" spans="1:31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P49">
        <f t="shared" si="0"/>
        <v>0</v>
      </c>
      <c r="Q49">
        <f t="shared" si="1"/>
        <v>0</v>
      </c>
      <c r="R49">
        <f t="shared" si="2"/>
        <v>0</v>
      </c>
      <c r="T49">
        <f t="shared" si="3"/>
        <v>1</v>
      </c>
      <c r="U49">
        <f t="shared" si="4"/>
        <v>0</v>
      </c>
      <c r="V49">
        <f t="shared" si="5"/>
        <v>0</v>
      </c>
      <c r="AA49">
        <v>42093.84</v>
      </c>
      <c r="AB49">
        <v>4074</v>
      </c>
      <c r="AC49">
        <v>88</v>
      </c>
      <c r="AD49">
        <v>3.3</v>
      </c>
      <c r="AE49">
        <f t="shared" si="6"/>
        <v>0</v>
      </c>
    </row>
    <row r="50" spans="1:31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P50">
        <f t="shared" si="0"/>
        <v>0</v>
      </c>
      <c r="Q50">
        <f t="shared" si="1"/>
        <v>1</v>
      </c>
      <c r="R50">
        <f t="shared" si="2"/>
        <v>0</v>
      </c>
      <c r="T50">
        <f t="shared" si="3"/>
        <v>0</v>
      </c>
      <c r="U50">
        <f t="shared" si="4"/>
        <v>0</v>
      </c>
      <c r="V50">
        <f t="shared" si="5"/>
        <v>0</v>
      </c>
      <c r="AA50">
        <v>46624.05</v>
      </c>
      <c r="AB50">
        <v>5104</v>
      </c>
      <c r="AC50">
        <v>97.3</v>
      </c>
      <c r="AD50">
        <v>4.7</v>
      </c>
      <c r="AE50">
        <f t="shared" si="6"/>
        <v>0</v>
      </c>
    </row>
    <row r="51" spans="1:31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P51">
        <f t="shared" si="0"/>
        <v>0</v>
      </c>
      <c r="Q51">
        <f t="shared" si="1"/>
        <v>1</v>
      </c>
      <c r="R51">
        <f t="shared" si="2"/>
        <v>0</v>
      </c>
      <c r="T51">
        <f t="shared" si="3"/>
        <v>0</v>
      </c>
      <c r="U51">
        <f t="shared" si="4"/>
        <v>0</v>
      </c>
      <c r="V51">
        <f t="shared" si="5"/>
        <v>0</v>
      </c>
      <c r="AA51">
        <v>49710.29</v>
      </c>
      <c r="AB51">
        <v>5559</v>
      </c>
      <c r="AC51">
        <v>71</v>
      </c>
      <c r="AD51">
        <v>4.5999999999999996</v>
      </c>
      <c r="AE51">
        <f t="shared" si="6"/>
        <v>0</v>
      </c>
    </row>
    <row r="52" spans="1:31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P52">
        <f t="shared" si="0"/>
        <v>0</v>
      </c>
      <c r="Q52">
        <f t="shared" si="1"/>
        <v>1</v>
      </c>
      <c r="R52">
        <f t="shared" si="2"/>
        <v>0</v>
      </c>
      <c r="T52">
        <f t="shared" si="3"/>
        <v>0</v>
      </c>
      <c r="U52">
        <f t="shared" si="4"/>
        <v>0</v>
      </c>
      <c r="V52">
        <f t="shared" si="5"/>
        <v>0</v>
      </c>
      <c r="AA52">
        <v>48287.85</v>
      </c>
      <c r="AB52">
        <v>5150</v>
      </c>
      <c r="AC52">
        <v>80.400000000000006</v>
      </c>
      <c r="AD52">
        <v>4.5</v>
      </c>
      <c r="AE52">
        <f t="shared" si="6"/>
        <v>0</v>
      </c>
    </row>
    <row r="53" spans="1:31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P53">
        <f t="shared" si="0"/>
        <v>0</v>
      </c>
      <c r="Q53">
        <f t="shared" si="1"/>
        <v>1</v>
      </c>
      <c r="R53">
        <f t="shared" si="2"/>
        <v>0</v>
      </c>
      <c r="T53">
        <f t="shared" si="3"/>
        <v>0</v>
      </c>
      <c r="U53">
        <f t="shared" si="4"/>
        <v>0</v>
      </c>
      <c r="V53">
        <f t="shared" si="5"/>
        <v>0</v>
      </c>
      <c r="AA53">
        <v>65312.49</v>
      </c>
      <c r="AB53">
        <v>7189</v>
      </c>
      <c r="AC53">
        <v>93.7</v>
      </c>
      <c r="AD53">
        <v>4.5999999999999996</v>
      </c>
      <c r="AE53">
        <f t="shared" si="6"/>
        <v>0</v>
      </c>
    </row>
    <row r="54" spans="1:31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P54">
        <f t="shared" si="0"/>
        <v>0</v>
      </c>
      <c r="Q54">
        <f t="shared" si="1"/>
        <v>0</v>
      </c>
      <c r="R54">
        <f t="shared" si="2"/>
        <v>0</v>
      </c>
      <c r="T54">
        <f t="shared" si="3"/>
        <v>0</v>
      </c>
      <c r="U54">
        <f t="shared" si="4"/>
        <v>1</v>
      </c>
      <c r="V54">
        <f t="shared" si="5"/>
        <v>0</v>
      </c>
      <c r="AA54">
        <v>53015.46</v>
      </c>
      <c r="AB54">
        <v>3279</v>
      </c>
      <c r="AC54">
        <v>84.3</v>
      </c>
      <c r="AD54">
        <v>3.9</v>
      </c>
      <c r="AE54">
        <f t="shared" si="6"/>
        <v>0</v>
      </c>
    </row>
    <row r="55" spans="1:31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P55">
        <f t="shared" si="0"/>
        <v>0</v>
      </c>
      <c r="Q55">
        <f t="shared" si="1"/>
        <v>0</v>
      </c>
      <c r="R55">
        <f t="shared" si="2"/>
        <v>0</v>
      </c>
      <c r="T55">
        <f t="shared" si="3"/>
        <v>0</v>
      </c>
      <c r="U55">
        <f t="shared" si="4"/>
        <v>1</v>
      </c>
      <c r="V55">
        <f t="shared" si="5"/>
        <v>0</v>
      </c>
      <c r="AA55">
        <v>99874.01</v>
      </c>
      <c r="AB55">
        <v>5887</v>
      </c>
      <c r="AC55">
        <v>88.7</v>
      </c>
      <c r="AD55">
        <v>4.7</v>
      </c>
      <c r="AE55">
        <f t="shared" si="6"/>
        <v>0</v>
      </c>
    </row>
    <row r="56" spans="1:31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P56">
        <f t="shared" si="0"/>
        <v>0</v>
      </c>
      <c r="Q56">
        <f t="shared" si="1"/>
        <v>0</v>
      </c>
      <c r="R56">
        <f t="shared" si="2"/>
        <v>0</v>
      </c>
      <c r="T56">
        <f t="shared" si="3"/>
        <v>0</v>
      </c>
      <c r="U56">
        <f t="shared" si="4"/>
        <v>1</v>
      </c>
      <c r="V56">
        <f t="shared" si="5"/>
        <v>0</v>
      </c>
      <c r="AA56">
        <v>81195.5</v>
      </c>
      <c r="AB56">
        <v>5516</v>
      </c>
      <c r="AC56">
        <v>88</v>
      </c>
      <c r="AD56">
        <v>4.3</v>
      </c>
      <c r="AE56">
        <f t="shared" si="6"/>
        <v>0</v>
      </c>
    </row>
    <row r="57" spans="1:31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P57">
        <f t="shared" si="0"/>
        <v>0</v>
      </c>
      <c r="Q57">
        <f t="shared" si="1"/>
        <v>0</v>
      </c>
      <c r="R57">
        <f t="shared" si="2"/>
        <v>0</v>
      </c>
      <c r="T57">
        <f t="shared" si="3"/>
        <v>0</v>
      </c>
      <c r="U57">
        <f t="shared" si="4"/>
        <v>1</v>
      </c>
      <c r="V57">
        <f t="shared" si="5"/>
        <v>0</v>
      </c>
      <c r="AA57">
        <v>27808.6</v>
      </c>
      <c r="AB57">
        <v>2863</v>
      </c>
      <c r="AC57">
        <v>89.3</v>
      </c>
      <c r="AD57">
        <v>4.0999999999999996</v>
      </c>
      <c r="AE57">
        <f t="shared" si="6"/>
        <v>0</v>
      </c>
    </row>
    <row r="58" spans="1:31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P58">
        <f t="shared" si="0"/>
        <v>1</v>
      </c>
      <c r="Q58">
        <f t="shared" si="1"/>
        <v>0</v>
      </c>
      <c r="R58">
        <f t="shared" si="2"/>
        <v>0</v>
      </c>
      <c r="T58">
        <f t="shared" si="3"/>
        <v>0</v>
      </c>
      <c r="U58">
        <f t="shared" si="4"/>
        <v>0</v>
      </c>
      <c r="V58">
        <f t="shared" si="5"/>
        <v>1</v>
      </c>
      <c r="AA58">
        <v>19365.060000000001</v>
      </c>
      <c r="AB58">
        <v>2378</v>
      </c>
      <c r="AC58">
        <v>94.8</v>
      </c>
      <c r="AD58">
        <v>3.5</v>
      </c>
      <c r="AE58">
        <f t="shared" si="6"/>
        <v>0</v>
      </c>
    </row>
    <row r="59" spans="1:31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P59">
        <f t="shared" si="0"/>
        <v>1</v>
      </c>
      <c r="Q59">
        <f t="shared" si="1"/>
        <v>0</v>
      </c>
      <c r="R59">
        <f t="shared" si="2"/>
        <v>0</v>
      </c>
      <c r="T59">
        <f t="shared" si="3"/>
        <v>0</v>
      </c>
      <c r="U59">
        <f t="shared" si="4"/>
        <v>0</v>
      </c>
      <c r="V59">
        <f t="shared" si="5"/>
        <v>1</v>
      </c>
      <c r="AA59">
        <v>59405.68</v>
      </c>
      <c r="AB59">
        <v>2515</v>
      </c>
      <c r="AC59">
        <v>76</v>
      </c>
      <c r="AD59">
        <v>3.7</v>
      </c>
      <c r="AE59">
        <f t="shared" si="6"/>
        <v>0</v>
      </c>
    </row>
    <row r="60" spans="1:31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P60">
        <f t="shared" si="0"/>
        <v>1</v>
      </c>
      <c r="Q60">
        <f t="shared" si="1"/>
        <v>0</v>
      </c>
      <c r="R60">
        <f t="shared" si="2"/>
        <v>0</v>
      </c>
      <c r="T60">
        <f t="shared" si="3"/>
        <v>0</v>
      </c>
      <c r="U60">
        <f t="shared" si="4"/>
        <v>0</v>
      </c>
      <c r="V60">
        <f t="shared" si="5"/>
        <v>1</v>
      </c>
      <c r="AA60">
        <v>118910.48</v>
      </c>
      <c r="AB60">
        <v>4022</v>
      </c>
      <c r="AC60">
        <v>87.1</v>
      </c>
      <c r="AD60">
        <v>3.1</v>
      </c>
      <c r="AE60">
        <f t="shared" si="6"/>
        <v>0</v>
      </c>
    </row>
    <row r="61" spans="1:31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P61">
        <f t="shared" si="0"/>
        <v>1</v>
      </c>
      <c r="Q61">
        <f t="shared" si="1"/>
        <v>0</v>
      </c>
      <c r="R61">
        <f t="shared" si="2"/>
        <v>0</v>
      </c>
      <c r="T61">
        <f t="shared" si="3"/>
        <v>0</v>
      </c>
      <c r="U61">
        <f t="shared" si="4"/>
        <v>0</v>
      </c>
      <c r="V61">
        <f t="shared" si="5"/>
        <v>1</v>
      </c>
      <c r="AA61">
        <v>52952.12</v>
      </c>
      <c r="AB61">
        <v>4377</v>
      </c>
      <c r="AC61">
        <v>88.6</v>
      </c>
      <c r="AD61">
        <v>3.1</v>
      </c>
      <c r="AE61">
        <f t="shared" si="6"/>
        <v>0</v>
      </c>
    </row>
    <row r="62" spans="1:31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P62">
        <f t="shared" si="0"/>
        <v>0</v>
      </c>
      <c r="Q62">
        <f t="shared" si="1"/>
        <v>0</v>
      </c>
      <c r="R62">
        <f t="shared" si="2"/>
        <v>1</v>
      </c>
      <c r="T62">
        <f t="shared" si="3"/>
        <v>0</v>
      </c>
      <c r="U62">
        <f t="shared" si="4"/>
        <v>1</v>
      </c>
      <c r="V62">
        <f t="shared" si="5"/>
        <v>0</v>
      </c>
      <c r="AA62">
        <v>74907.98</v>
      </c>
      <c r="AB62">
        <v>5306</v>
      </c>
      <c r="AC62">
        <v>95.6</v>
      </c>
      <c r="AD62">
        <v>3.7</v>
      </c>
      <c r="AE62">
        <f t="shared" si="6"/>
        <v>0</v>
      </c>
    </row>
    <row r="63" spans="1:31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P63">
        <f t="shared" si="0"/>
        <v>0</v>
      </c>
      <c r="Q63">
        <f t="shared" si="1"/>
        <v>0</v>
      </c>
      <c r="R63">
        <f t="shared" si="2"/>
        <v>1</v>
      </c>
      <c r="T63">
        <f t="shared" si="3"/>
        <v>0</v>
      </c>
      <c r="U63">
        <f t="shared" si="4"/>
        <v>1</v>
      </c>
      <c r="V63">
        <f t="shared" si="5"/>
        <v>0</v>
      </c>
      <c r="AA63">
        <v>37284.660000000003</v>
      </c>
      <c r="AB63">
        <v>3928</v>
      </c>
      <c r="AC63">
        <v>86.5</v>
      </c>
      <c r="AD63">
        <v>3.8</v>
      </c>
      <c r="AE63">
        <f t="shared" si="6"/>
        <v>0</v>
      </c>
    </row>
    <row r="64" spans="1:31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P64">
        <f t="shared" si="0"/>
        <v>0</v>
      </c>
      <c r="Q64">
        <f t="shared" si="1"/>
        <v>0</v>
      </c>
      <c r="R64">
        <f t="shared" si="2"/>
        <v>1</v>
      </c>
      <c r="T64">
        <f t="shared" si="3"/>
        <v>0</v>
      </c>
      <c r="U64">
        <f t="shared" si="4"/>
        <v>1</v>
      </c>
      <c r="V64">
        <f t="shared" si="5"/>
        <v>0</v>
      </c>
      <c r="AA64">
        <v>50343.19</v>
      </c>
      <c r="AB64">
        <v>3845</v>
      </c>
      <c r="AC64">
        <v>88.7</v>
      </c>
      <c r="AD64">
        <v>3.3</v>
      </c>
      <c r="AE64">
        <f t="shared" si="6"/>
        <v>0</v>
      </c>
    </row>
    <row r="65" spans="1:31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P65">
        <f t="shared" si="0"/>
        <v>0</v>
      </c>
      <c r="Q65">
        <f t="shared" si="1"/>
        <v>0</v>
      </c>
      <c r="R65">
        <f t="shared" si="2"/>
        <v>1</v>
      </c>
      <c r="T65">
        <f t="shared" si="3"/>
        <v>0</v>
      </c>
      <c r="U65">
        <f t="shared" si="4"/>
        <v>1</v>
      </c>
      <c r="V65">
        <f t="shared" si="5"/>
        <v>0</v>
      </c>
      <c r="AA65">
        <v>74954.47</v>
      </c>
      <c r="AB65">
        <v>6620</v>
      </c>
      <c r="AC65">
        <v>91.1</v>
      </c>
      <c r="AD65">
        <v>3.5</v>
      </c>
      <c r="AE65">
        <f t="shared" si="6"/>
        <v>0</v>
      </c>
    </row>
    <row r="66" spans="1:31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P66">
        <f t="shared" si="0"/>
        <v>0</v>
      </c>
      <c r="Q66">
        <f t="shared" si="1"/>
        <v>0</v>
      </c>
      <c r="R66">
        <f t="shared" si="2"/>
        <v>0</v>
      </c>
      <c r="T66">
        <f t="shared" si="3"/>
        <v>0</v>
      </c>
      <c r="U66">
        <f t="shared" si="4"/>
        <v>1</v>
      </c>
      <c r="V66">
        <f t="shared" si="5"/>
        <v>0</v>
      </c>
      <c r="AA66">
        <v>70040.31</v>
      </c>
      <c r="AB66">
        <v>9175</v>
      </c>
      <c r="AC66">
        <v>95.1</v>
      </c>
      <c r="AD66">
        <v>3.4</v>
      </c>
      <c r="AE66">
        <f t="shared" si="6"/>
        <v>0</v>
      </c>
    </row>
    <row r="67" spans="1:31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P67">
        <f t="shared" ref="P67:P130" si="7">IF(C67="East",1,0)</f>
        <v>0</v>
      </c>
      <c r="Q67">
        <f t="shared" ref="Q67:Q130" si="8">IF(C67="North",1,0)</f>
        <v>0</v>
      </c>
      <c r="R67">
        <f t="shared" ref="R67:R130" si="9">IF(C67="South",1,0)</f>
        <v>0</v>
      </c>
      <c r="T67">
        <f t="shared" ref="T67:T130" si="10">IF(D67="Residential",1,0)</f>
        <v>0</v>
      </c>
      <c r="U67">
        <f t="shared" ref="U67:U130" si="11">IF(D67="High Street",1,0)</f>
        <v>1</v>
      </c>
      <c r="V67">
        <f t="shared" ref="V67:V130" si="12">IF(D67="Airport",1,0)</f>
        <v>0</v>
      </c>
      <c r="AA67">
        <v>51148.69</v>
      </c>
      <c r="AB67">
        <v>7940</v>
      </c>
      <c r="AC67">
        <v>93.3</v>
      </c>
      <c r="AD67">
        <v>3.6</v>
      </c>
      <c r="AE67">
        <f t="shared" ref="AE67:AE130" si="13">IF(Q67="North",1,0)</f>
        <v>0</v>
      </c>
    </row>
    <row r="68" spans="1:31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P68">
        <f t="shared" si="7"/>
        <v>0</v>
      </c>
      <c r="Q68">
        <f t="shared" si="8"/>
        <v>0</v>
      </c>
      <c r="R68">
        <f t="shared" si="9"/>
        <v>0</v>
      </c>
      <c r="T68">
        <f t="shared" si="10"/>
        <v>0</v>
      </c>
      <c r="U68">
        <f t="shared" si="11"/>
        <v>1</v>
      </c>
      <c r="V68">
        <f t="shared" si="12"/>
        <v>0</v>
      </c>
      <c r="AA68">
        <v>79346.100000000006</v>
      </c>
      <c r="AB68">
        <v>9628</v>
      </c>
      <c r="AC68">
        <v>99</v>
      </c>
      <c r="AD68">
        <v>3.2</v>
      </c>
      <c r="AE68">
        <f t="shared" si="13"/>
        <v>0</v>
      </c>
    </row>
    <row r="69" spans="1:31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P69">
        <f t="shared" si="7"/>
        <v>0</v>
      </c>
      <c r="Q69">
        <f t="shared" si="8"/>
        <v>0</v>
      </c>
      <c r="R69">
        <f t="shared" si="9"/>
        <v>0</v>
      </c>
      <c r="T69">
        <f t="shared" si="10"/>
        <v>0</v>
      </c>
      <c r="U69">
        <f t="shared" si="11"/>
        <v>1</v>
      </c>
      <c r="V69">
        <f t="shared" si="12"/>
        <v>0</v>
      </c>
      <c r="AA69">
        <v>42018.400000000001</v>
      </c>
      <c r="AB69">
        <v>8296</v>
      </c>
      <c r="AC69">
        <v>91.8</v>
      </c>
      <c r="AD69">
        <v>3.4</v>
      </c>
      <c r="AE69">
        <f t="shared" si="13"/>
        <v>0</v>
      </c>
    </row>
    <row r="70" spans="1:31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P70">
        <f t="shared" si="7"/>
        <v>1</v>
      </c>
      <c r="Q70">
        <f t="shared" si="8"/>
        <v>0</v>
      </c>
      <c r="R70">
        <f t="shared" si="9"/>
        <v>0</v>
      </c>
      <c r="T70">
        <f t="shared" si="10"/>
        <v>0</v>
      </c>
      <c r="U70">
        <f t="shared" si="11"/>
        <v>1</v>
      </c>
      <c r="V70">
        <f t="shared" si="12"/>
        <v>0</v>
      </c>
      <c r="AA70">
        <v>70937.240000000005</v>
      </c>
      <c r="AB70">
        <v>3595</v>
      </c>
      <c r="AC70">
        <v>88.9</v>
      </c>
      <c r="AD70">
        <v>3.3</v>
      </c>
      <c r="AE70">
        <f t="shared" si="13"/>
        <v>0</v>
      </c>
    </row>
    <row r="71" spans="1:31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P71">
        <f t="shared" si="7"/>
        <v>1</v>
      </c>
      <c r="Q71">
        <f t="shared" si="8"/>
        <v>0</v>
      </c>
      <c r="R71">
        <f t="shared" si="9"/>
        <v>0</v>
      </c>
      <c r="T71">
        <f t="shared" si="10"/>
        <v>0</v>
      </c>
      <c r="U71">
        <f t="shared" si="11"/>
        <v>1</v>
      </c>
      <c r="V71">
        <f t="shared" si="12"/>
        <v>0</v>
      </c>
      <c r="AA71">
        <v>36813.449999999997</v>
      </c>
      <c r="AB71">
        <v>2834</v>
      </c>
      <c r="AC71">
        <v>81.8</v>
      </c>
      <c r="AD71">
        <v>3.3</v>
      </c>
      <c r="AE71">
        <f t="shared" si="13"/>
        <v>0</v>
      </c>
    </row>
    <row r="72" spans="1:31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P72">
        <f t="shared" si="7"/>
        <v>1</v>
      </c>
      <c r="Q72">
        <f t="shared" si="8"/>
        <v>0</v>
      </c>
      <c r="R72">
        <f t="shared" si="9"/>
        <v>0</v>
      </c>
      <c r="T72">
        <f t="shared" si="10"/>
        <v>0</v>
      </c>
      <c r="U72">
        <f t="shared" si="11"/>
        <v>1</v>
      </c>
      <c r="V72">
        <f t="shared" si="12"/>
        <v>0</v>
      </c>
      <c r="AA72">
        <v>60571.82</v>
      </c>
      <c r="AB72">
        <v>3193</v>
      </c>
      <c r="AC72">
        <v>99</v>
      </c>
      <c r="AD72">
        <v>3.2</v>
      </c>
      <c r="AE72">
        <f t="shared" si="13"/>
        <v>0</v>
      </c>
    </row>
    <row r="73" spans="1:31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f ca="1">AVERAGE(J2:J321)</f>
        <v>0</v>
      </c>
      <c r="K73">
        <v>0</v>
      </c>
      <c r="L73">
        <v>3.5</v>
      </c>
      <c r="M73">
        <v>674774.09</v>
      </c>
      <c r="N73">
        <v>141917.59</v>
      </c>
      <c r="P73">
        <f t="shared" si="7"/>
        <v>1</v>
      </c>
      <c r="Q73">
        <f t="shared" si="8"/>
        <v>0</v>
      </c>
      <c r="R73">
        <f t="shared" si="9"/>
        <v>0</v>
      </c>
      <c r="T73">
        <f t="shared" si="10"/>
        <v>0</v>
      </c>
      <c r="U73">
        <f t="shared" si="11"/>
        <v>1</v>
      </c>
      <c r="V73">
        <f t="shared" si="12"/>
        <v>0</v>
      </c>
      <c r="AA73">
        <v>55081.16</v>
      </c>
      <c r="AB73">
        <v>5485</v>
      </c>
      <c r="AC73">
        <v>88</v>
      </c>
      <c r="AD73">
        <v>3.5</v>
      </c>
      <c r="AE73">
        <f t="shared" si="13"/>
        <v>0</v>
      </c>
    </row>
    <row r="74" spans="1:31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P74">
        <f t="shared" si="7"/>
        <v>1</v>
      </c>
      <c r="Q74">
        <f t="shared" si="8"/>
        <v>0</v>
      </c>
      <c r="R74">
        <f t="shared" si="9"/>
        <v>0</v>
      </c>
      <c r="T74">
        <f t="shared" si="10"/>
        <v>1</v>
      </c>
      <c r="U74">
        <f t="shared" si="11"/>
        <v>0</v>
      </c>
      <c r="V74">
        <f t="shared" si="12"/>
        <v>0</v>
      </c>
      <c r="AA74">
        <v>46201.46</v>
      </c>
      <c r="AB74">
        <v>5918</v>
      </c>
      <c r="AC74">
        <v>78.8</v>
      </c>
      <c r="AD74">
        <v>4.5</v>
      </c>
      <c r="AE74">
        <f t="shared" si="13"/>
        <v>0</v>
      </c>
    </row>
    <row r="75" spans="1:31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P75">
        <f t="shared" si="7"/>
        <v>1</v>
      </c>
      <c r="Q75">
        <f t="shared" si="8"/>
        <v>0</v>
      </c>
      <c r="R75">
        <f t="shared" si="9"/>
        <v>0</v>
      </c>
      <c r="T75">
        <f t="shared" si="10"/>
        <v>1</v>
      </c>
      <c r="U75">
        <f t="shared" si="11"/>
        <v>0</v>
      </c>
      <c r="V75">
        <f t="shared" si="12"/>
        <v>0</v>
      </c>
      <c r="AA75">
        <v>53762.92</v>
      </c>
      <c r="AB75">
        <v>6821</v>
      </c>
      <c r="AC75">
        <v>94.6</v>
      </c>
      <c r="AD75">
        <v>4.4000000000000004</v>
      </c>
      <c r="AE75">
        <f t="shared" si="13"/>
        <v>0</v>
      </c>
    </row>
    <row r="76" spans="1:31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P76">
        <f t="shared" si="7"/>
        <v>1</v>
      </c>
      <c r="Q76">
        <f t="shared" si="8"/>
        <v>0</v>
      </c>
      <c r="R76">
        <f t="shared" si="9"/>
        <v>0</v>
      </c>
      <c r="T76">
        <f t="shared" si="10"/>
        <v>1</v>
      </c>
      <c r="U76">
        <f t="shared" si="11"/>
        <v>0</v>
      </c>
      <c r="V76">
        <f t="shared" si="12"/>
        <v>0</v>
      </c>
      <c r="AA76">
        <v>70144.78</v>
      </c>
      <c r="AB76">
        <v>6806</v>
      </c>
      <c r="AC76">
        <v>93.1</v>
      </c>
      <c r="AD76">
        <v>4.3</v>
      </c>
      <c r="AE76">
        <f t="shared" si="13"/>
        <v>0</v>
      </c>
    </row>
    <row r="77" spans="1:31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P77">
        <f t="shared" si="7"/>
        <v>1</v>
      </c>
      <c r="Q77">
        <f t="shared" si="8"/>
        <v>0</v>
      </c>
      <c r="R77">
        <f t="shared" si="9"/>
        <v>0</v>
      </c>
      <c r="T77">
        <f t="shared" si="10"/>
        <v>1</v>
      </c>
      <c r="U77">
        <f t="shared" si="11"/>
        <v>0</v>
      </c>
      <c r="V77">
        <f t="shared" si="12"/>
        <v>0</v>
      </c>
      <c r="AA77">
        <v>58749.63</v>
      </c>
      <c r="AB77">
        <v>8252</v>
      </c>
      <c r="AC77">
        <v>85.2</v>
      </c>
      <c r="AD77">
        <v>4.5</v>
      </c>
      <c r="AE77">
        <f t="shared" si="13"/>
        <v>0</v>
      </c>
    </row>
    <row r="78" spans="1:31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P78">
        <f t="shared" si="7"/>
        <v>0</v>
      </c>
      <c r="Q78">
        <f t="shared" si="8"/>
        <v>0</v>
      </c>
      <c r="R78">
        <f t="shared" si="9"/>
        <v>1</v>
      </c>
      <c r="T78">
        <f t="shared" si="10"/>
        <v>0</v>
      </c>
      <c r="U78">
        <f t="shared" si="11"/>
        <v>1</v>
      </c>
      <c r="V78">
        <f t="shared" si="12"/>
        <v>0</v>
      </c>
      <c r="AA78">
        <v>56973.18</v>
      </c>
      <c r="AB78">
        <v>6662</v>
      </c>
      <c r="AC78">
        <v>77.7</v>
      </c>
      <c r="AD78">
        <v>3.2</v>
      </c>
      <c r="AE78">
        <f t="shared" si="13"/>
        <v>0</v>
      </c>
    </row>
    <row r="79" spans="1:31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P79">
        <f t="shared" si="7"/>
        <v>0</v>
      </c>
      <c r="Q79">
        <f t="shared" si="8"/>
        <v>0</v>
      </c>
      <c r="R79">
        <f t="shared" si="9"/>
        <v>1</v>
      </c>
      <c r="T79">
        <f t="shared" si="10"/>
        <v>0</v>
      </c>
      <c r="U79">
        <f t="shared" si="11"/>
        <v>1</v>
      </c>
      <c r="V79">
        <f t="shared" si="12"/>
        <v>0</v>
      </c>
      <c r="AA79">
        <v>54872.82</v>
      </c>
      <c r="AB79">
        <v>5962</v>
      </c>
      <c r="AC79">
        <v>85.4</v>
      </c>
      <c r="AD79">
        <v>2.9</v>
      </c>
      <c r="AE79">
        <f t="shared" si="13"/>
        <v>0</v>
      </c>
    </row>
    <row r="80" spans="1:31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P80">
        <f t="shared" si="7"/>
        <v>0</v>
      </c>
      <c r="Q80">
        <f t="shared" si="8"/>
        <v>0</v>
      </c>
      <c r="R80">
        <f t="shared" si="9"/>
        <v>1</v>
      </c>
      <c r="T80">
        <f t="shared" si="10"/>
        <v>0</v>
      </c>
      <c r="U80">
        <f t="shared" si="11"/>
        <v>1</v>
      </c>
      <c r="V80">
        <f t="shared" si="12"/>
        <v>0</v>
      </c>
      <c r="AA80">
        <v>80562.81</v>
      </c>
      <c r="AB80">
        <v>7470</v>
      </c>
      <c r="AC80">
        <v>83.5</v>
      </c>
      <c r="AD80">
        <v>3.3</v>
      </c>
      <c r="AE80">
        <f t="shared" si="13"/>
        <v>0</v>
      </c>
    </row>
    <row r="81" spans="1:31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P81">
        <f t="shared" si="7"/>
        <v>0</v>
      </c>
      <c r="Q81">
        <f t="shared" si="8"/>
        <v>0</v>
      </c>
      <c r="R81">
        <f t="shared" si="9"/>
        <v>1</v>
      </c>
      <c r="T81">
        <f t="shared" si="10"/>
        <v>0</v>
      </c>
      <c r="U81">
        <f t="shared" si="11"/>
        <v>1</v>
      </c>
      <c r="V81">
        <f t="shared" si="12"/>
        <v>0</v>
      </c>
      <c r="AA81">
        <v>77999.899999999994</v>
      </c>
      <c r="AB81">
        <v>5974</v>
      </c>
      <c r="AC81">
        <v>81.3</v>
      </c>
      <c r="AD81">
        <v>3.2</v>
      </c>
      <c r="AE81">
        <f t="shared" si="13"/>
        <v>0</v>
      </c>
    </row>
    <row r="82" spans="1:31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P82">
        <f t="shared" si="7"/>
        <v>0</v>
      </c>
      <c r="Q82">
        <f t="shared" si="8"/>
        <v>0</v>
      </c>
      <c r="R82">
        <f t="shared" si="9"/>
        <v>0</v>
      </c>
      <c r="T82">
        <f t="shared" si="10"/>
        <v>0</v>
      </c>
      <c r="U82">
        <f t="shared" si="11"/>
        <v>0</v>
      </c>
      <c r="V82">
        <f t="shared" si="12"/>
        <v>0</v>
      </c>
      <c r="AA82">
        <v>60881.01</v>
      </c>
      <c r="AB82">
        <v>5410</v>
      </c>
      <c r="AC82">
        <v>83.9</v>
      </c>
      <c r="AD82">
        <v>4.5999999999999996</v>
      </c>
      <c r="AE82">
        <f t="shared" si="13"/>
        <v>0</v>
      </c>
    </row>
    <row r="83" spans="1:31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P83">
        <f t="shared" si="7"/>
        <v>0</v>
      </c>
      <c r="Q83">
        <f t="shared" si="8"/>
        <v>0</v>
      </c>
      <c r="R83">
        <f t="shared" si="9"/>
        <v>0</v>
      </c>
      <c r="T83">
        <f t="shared" si="10"/>
        <v>0</v>
      </c>
      <c r="U83">
        <f t="shared" si="11"/>
        <v>0</v>
      </c>
      <c r="V83">
        <f t="shared" si="12"/>
        <v>0</v>
      </c>
      <c r="AA83">
        <v>60628.38</v>
      </c>
      <c r="AB83">
        <v>4451</v>
      </c>
      <c r="AC83">
        <v>89.6</v>
      </c>
      <c r="AD83">
        <v>4.5999999999999996</v>
      </c>
      <c r="AE83">
        <f t="shared" si="13"/>
        <v>0</v>
      </c>
    </row>
    <row r="84" spans="1:31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P84">
        <f t="shared" si="7"/>
        <v>0</v>
      </c>
      <c r="Q84">
        <f t="shared" si="8"/>
        <v>0</v>
      </c>
      <c r="R84">
        <f t="shared" si="9"/>
        <v>0</v>
      </c>
      <c r="T84">
        <f t="shared" si="10"/>
        <v>0</v>
      </c>
      <c r="U84">
        <f t="shared" si="11"/>
        <v>0</v>
      </c>
      <c r="V84">
        <f t="shared" si="12"/>
        <v>0</v>
      </c>
      <c r="AA84">
        <v>72731.14</v>
      </c>
      <c r="AB84">
        <v>4644</v>
      </c>
      <c r="AC84">
        <v>87.1</v>
      </c>
      <c r="AD84">
        <v>4.5999999999999996</v>
      </c>
      <c r="AE84">
        <f t="shared" si="13"/>
        <v>0</v>
      </c>
    </row>
    <row r="85" spans="1:31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P85">
        <f t="shared" si="7"/>
        <v>0</v>
      </c>
      <c r="Q85">
        <f t="shared" si="8"/>
        <v>0</v>
      </c>
      <c r="R85">
        <f t="shared" si="9"/>
        <v>0</v>
      </c>
      <c r="T85">
        <f t="shared" si="10"/>
        <v>0</v>
      </c>
      <c r="U85">
        <f t="shared" si="11"/>
        <v>0</v>
      </c>
      <c r="V85">
        <f t="shared" si="12"/>
        <v>0</v>
      </c>
      <c r="AA85">
        <v>36475.71</v>
      </c>
      <c r="AB85">
        <v>3559</v>
      </c>
      <c r="AC85">
        <v>83.6</v>
      </c>
      <c r="AD85">
        <v>4.2</v>
      </c>
      <c r="AE85">
        <f t="shared" si="13"/>
        <v>0</v>
      </c>
    </row>
    <row r="86" spans="1:31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P86">
        <f t="shared" si="7"/>
        <v>0</v>
      </c>
      <c r="Q86">
        <f t="shared" si="8"/>
        <v>0</v>
      </c>
      <c r="R86">
        <f t="shared" si="9"/>
        <v>0</v>
      </c>
      <c r="T86">
        <f t="shared" si="10"/>
        <v>0</v>
      </c>
      <c r="U86">
        <f t="shared" si="11"/>
        <v>1</v>
      </c>
      <c r="V86">
        <f t="shared" si="12"/>
        <v>0</v>
      </c>
      <c r="AA86">
        <v>55388.11</v>
      </c>
      <c r="AB86">
        <v>3091</v>
      </c>
      <c r="AC86">
        <v>85.4</v>
      </c>
      <c r="AD86">
        <v>4.9000000000000004</v>
      </c>
      <c r="AE86">
        <f t="shared" si="13"/>
        <v>0</v>
      </c>
    </row>
    <row r="87" spans="1:31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3.9239999999999999</v>
      </c>
      <c r="M87">
        <v>611766.72</v>
      </c>
      <c r="N87">
        <v>88275.61</v>
      </c>
      <c r="P87">
        <f t="shared" si="7"/>
        <v>0</v>
      </c>
      <c r="Q87">
        <f t="shared" si="8"/>
        <v>0</v>
      </c>
      <c r="R87">
        <f t="shared" si="9"/>
        <v>0</v>
      </c>
      <c r="T87">
        <f t="shared" si="10"/>
        <v>0</v>
      </c>
      <c r="U87">
        <f t="shared" si="11"/>
        <v>1</v>
      </c>
      <c r="V87">
        <f t="shared" si="12"/>
        <v>0</v>
      </c>
      <c r="AA87">
        <v>88443.77</v>
      </c>
      <c r="AB87">
        <v>4004</v>
      </c>
      <c r="AC87">
        <v>91.9</v>
      </c>
      <c r="AD87">
        <v>3.9239999999999999</v>
      </c>
      <c r="AE87">
        <f t="shared" si="13"/>
        <v>0</v>
      </c>
    </row>
    <row r="88" spans="1:31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P88">
        <f t="shared" si="7"/>
        <v>0</v>
      </c>
      <c r="Q88">
        <f t="shared" si="8"/>
        <v>0</v>
      </c>
      <c r="R88">
        <f t="shared" si="9"/>
        <v>0</v>
      </c>
      <c r="T88">
        <f t="shared" si="10"/>
        <v>0</v>
      </c>
      <c r="U88">
        <f t="shared" si="11"/>
        <v>1</v>
      </c>
      <c r="V88">
        <f t="shared" si="12"/>
        <v>0</v>
      </c>
      <c r="AA88">
        <v>78231.91</v>
      </c>
      <c r="AB88">
        <v>3788</v>
      </c>
      <c r="AC88">
        <v>88.5</v>
      </c>
      <c r="AD88">
        <v>4.3</v>
      </c>
      <c r="AE88">
        <f t="shared" si="13"/>
        <v>0</v>
      </c>
    </row>
    <row r="89" spans="1:31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P89">
        <f t="shared" si="7"/>
        <v>0</v>
      </c>
      <c r="Q89">
        <f t="shared" si="8"/>
        <v>0</v>
      </c>
      <c r="R89">
        <f t="shared" si="9"/>
        <v>0</v>
      </c>
      <c r="T89">
        <f t="shared" si="10"/>
        <v>0</v>
      </c>
      <c r="U89">
        <f t="shared" si="11"/>
        <v>1</v>
      </c>
      <c r="V89">
        <f t="shared" si="12"/>
        <v>0</v>
      </c>
      <c r="AA89">
        <v>18996.32</v>
      </c>
      <c r="AB89">
        <v>1260</v>
      </c>
      <c r="AC89">
        <v>86.4</v>
      </c>
      <c r="AD89">
        <v>4.5999999999999996</v>
      </c>
      <c r="AE89">
        <f t="shared" si="13"/>
        <v>0</v>
      </c>
    </row>
    <row r="90" spans="1:31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P90">
        <f t="shared" si="7"/>
        <v>0</v>
      </c>
      <c r="Q90">
        <f t="shared" si="8"/>
        <v>0</v>
      </c>
      <c r="R90">
        <f t="shared" si="9"/>
        <v>1</v>
      </c>
      <c r="T90">
        <f t="shared" si="10"/>
        <v>0</v>
      </c>
      <c r="U90">
        <f t="shared" si="11"/>
        <v>0</v>
      </c>
      <c r="V90">
        <f t="shared" si="12"/>
        <v>0</v>
      </c>
      <c r="AA90">
        <v>50517.94</v>
      </c>
      <c r="AB90">
        <v>7024</v>
      </c>
      <c r="AC90">
        <v>79.2</v>
      </c>
      <c r="AD90">
        <v>4.0999999999999996</v>
      </c>
      <c r="AE90">
        <f t="shared" si="13"/>
        <v>0</v>
      </c>
    </row>
    <row r="91" spans="1:31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P91">
        <f t="shared" si="7"/>
        <v>0</v>
      </c>
      <c r="Q91">
        <f t="shared" si="8"/>
        <v>0</v>
      </c>
      <c r="R91">
        <f t="shared" si="9"/>
        <v>1</v>
      </c>
      <c r="T91">
        <f t="shared" si="10"/>
        <v>0</v>
      </c>
      <c r="U91">
        <f t="shared" si="11"/>
        <v>0</v>
      </c>
      <c r="V91">
        <f t="shared" si="12"/>
        <v>0</v>
      </c>
      <c r="AA91">
        <v>141540.29</v>
      </c>
      <c r="AB91">
        <v>5400</v>
      </c>
      <c r="AC91">
        <v>87</v>
      </c>
      <c r="AD91">
        <v>4.5</v>
      </c>
      <c r="AE91">
        <f t="shared" si="13"/>
        <v>0</v>
      </c>
    </row>
    <row r="92" spans="1:31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P92">
        <f t="shared" si="7"/>
        <v>0</v>
      </c>
      <c r="Q92">
        <f t="shared" si="8"/>
        <v>0</v>
      </c>
      <c r="R92">
        <f t="shared" si="9"/>
        <v>1</v>
      </c>
      <c r="T92">
        <f t="shared" si="10"/>
        <v>0</v>
      </c>
      <c r="U92">
        <f t="shared" si="11"/>
        <v>0</v>
      </c>
      <c r="V92">
        <f t="shared" si="12"/>
        <v>0</v>
      </c>
      <c r="AA92">
        <v>82116.19</v>
      </c>
      <c r="AB92">
        <v>5988</v>
      </c>
      <c r="AC92">
        <v>91.8</v>
      </c>
      <c r="AD92">
        <v>4.7</v>
      </c>
      <c r="AE92">
        <f t="shared" si="13"/>
        <v>0</v>
      </c>
    </row>
    <row r="93" spans="1:31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P93">
        <f t="shared" si="7"/>
        <v>0</v>
      </c>
      <c r="Q93">
        <f t="shared" si="8"/>
        <v>0</v>
      </c>
      <c r="R93">
        <f t="shared" si="9"/>
        <v>1</v>
      </c>
      <c r="T93">
        <f t="shared" si="10"/>
        <v>0</v>
      </c>
      <c r="U93">
        <f t="shared" si="11"/>
        <v>0</v>
      </c>
      <c r="V93">
        <f t="shared" si="12"/>
        <v>0</v>
      </c>
      <c r="AA93">
        <v>31207.51</v>
      </c>
      <c r="AB93">
        <v>3701</v>
      </c>
      <c r="AC93">
        <v>84.7</v>
      </c>
      <c r="AD93">
        <v>4.3</v>
      </c>
      <c r="AE93">
        <f t="shared" si="13"/>
        <v>0</v>
      </c>
    </row>
    <row r="94" spans="1:31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P94">
        <f t="shared" si="7"/>
        <v>0</v>
      </c>
      <c r="Q94">
        <f t="shared" si="8"/>
        <v>0</v>
      </c>
      <c r="R94">
        <f t="shared" si="9"/>
        <v>0</v>
      </c>
      <c r="T94">
        <f t="shared" si="10"/>
        <v>1</v>
      </c>
      <c r="U94">
        <f t="shared" si="11"/>
        <v>0</v>
      </c>
      <c r="V94">
        <f t="shared" si="12"/>
        <v>0</v>
      </c>
      <c r="AA94">
        <v>38966.589999999997</v>
      </c>
      <c r="AB94">
        <v>4509</v>
      </c>
      <c r="AC94">
        <v>91.1</v>
      </c>
      <c r="AD94">
        <v>4.5999999999999996</v>
      </c>
      <c r="AE94">
        <f t="shared" si="13"/>
        <v>0</v>
      </c>
    </row>
    <row r="95" spans="1:31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P95">
        <f t="shared" si="7"/>
        <v>0</v>
      </c>
      <c r="Q95">
        <f t="shared" si="8"/>
        <v>0</v>
      </c>
      <c r="R95">
        <f t="shared" si="9"/>
        <v>0</v>
      </c>
      <c r="T95">
        <f t="shared" si="10"/>
        <v>1</v>
      </c>
      <c r="U95">
        <f t="shared" si="11"/>
        <v>0</v>
      </c>
      <c r="V95">
        <f t="shared" si="12"/>
        <v>0</v>
      </c>
      <c r="AA95">
        <v>67439.3</v>
      </c>
      <c r="AB95">
        <v>6477</v>
      </c>
      <c r="AC95">
        <v>90.9</v>
      </c>
      <c r="AD95">
        <v>4.5</v>
      </c>
      <c r="AE95">
        <f t="shared" si="13"/>
        <v>0</v>
      </c>
    </row>
    <row r="96" spans="1:31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P96">
        <f t="shared" si="7"/>
        <v>0</v>
      </c>
      <c r="Q96">
        <f t="shared" si="8"/>
        <v>0</v>
      </c>
      <c r="R96">
        <f t="shared" si="9"/>
        <v>0</v>
      </c>
      <c r="T96">
        <f t="shared" si="10"/>
        <v>1</v>
      </c>
      <c r="U96">
        <f t="shared" si="11"/>
        <v>0</v>
      </c>
      <c r="V96">
        <f t="shared" si="12"/>
        <v>0</v>
      </c>
      <c r="AA96">
        <v>86421.88</v>
      </c>
      <c r="AB96">
        <v>7970</v>
      </c>
      <c r="AC96">
        <v>91.3</v>
      </c>
      <c r="AD96">
        <v>5</v>
      </c>
      <c r="AE96">
        <f t="shared" si="13"/>
        <v>0</v>
      </c>
    </row>
    <row r="97" spans="1:31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P97">
        <f t="shared" si="7"/>
        <v>0</v>
      </c>
      <c r="Q97">
        <f t="shared" si="8"/>
        <v>0</v>
      </c>
      <c r="R97">
        <f t="shared" si="9"/>
        <v>0</v>
      </c>
      <c r="T97">
        <f t="shared" si="10"/>
        <v>1</v>
      </c>
      <c r="U97">
        <f t="shared" si="11"/>
        <v>0</v>
      </c>
      <c r="V97">
        <f t="shared" si="12"/>
        <v>0</v>
      </c>
      <c r="AA97">
        <v>9534.65</v>
      </c>
      <c r="AB97">
        <v>6057</v>
      </c>
      <c r="AC97">
        <v>94.1</v>
      </c>
      <c r="AD97">
        <v>4.5</v>
      </c>
      <c r="AE97">
        <f t="shared" si="13"/>
        <v>0</v>
      </c>
    </row>
    <row r="98" spans="1:31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P98">
        <f t="shared" si="7"/>
        <v>0</v>
      </c>
      <c r="Q98">
        <f t="shared" si="8"/>
        <v>0</v>
      </c>
      <c r="R98">
        <f t="shared" si="9"/>
        <v>0</v>
      </c>
      <c r="T98">
        <f t="shared" si="10"/>
        <v>0</v>
      </c>
      <c r="U98">
        <f t="shared" si="11"/>
        <v>0</v>
      </c>
      <c r="V98">
        <f t="shared" si="12"/>
        <v>0</v>
      </c>
      <c r="AA98">
        <v>61132.07</v>
      </c>
      <c r="AB98">
        <v>6394</v>
      </c>
      <c r="AC98">
        <v>91</v>
      </c>
      <c r="AD98">
        <v>4.4000000000000004</v>
      </c>
      <c r="AE98">
        <f t="shared" si="13"/>
        <v>0</v>
      </c>
    </row>
    <row r="99" spans="1:31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P99">
        <f t="shared" si="7"/>
        <v>0</v>
      </c>
      <c r="Q99">
        <f t="shared" si="8"/>
        <v>0</v>
      </c>
      <c r="R99">
        <f t="shared" si="9"/>
        <v>0</v>
      </c>
      <c r="T99">
        <f t="shared" si="10"/>
        <v>0</v>
      </c>
      <c r="U99">
        <f t="shared" si="11"/>
        <v>0</v>
      </c>
      <c r="V99">
        <f t="shared" si="12"/>
        <v>0</v>
      </c>
      <c r="AA99">
        <v>78839.39</v>
      </c>
      <c r="AB99">
        <v>5150</v>
      </c>
      <c r="AC99">
        <v>85.8</v>
      </c>
      <c r="AD99">
        <v>4.3</v>
      </c>
      <c r="AE99">
        <f t="shared" si="13"/>
        <v>0</v>
      </c>
    </row>
    <row r="100" spans="1:31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4.5990000000000002</v>
      </c>
      <c r="K100">
        <v>0</v>
      </c>
      <c r="L100">
        <v>4.3</v>
      </c>
      <c r="M100">
        <v>605775.32999999996</v>
      </c>
      <c r="N100">
        <v>107194.6</v>
      </c>
      <c r="P100">
        <f t="shared" si="7"/>
        <v>0</v>
      </c>
      <c r="Q100">
        <f t="shared" si="8"/>
        <v>0</v>
      </c>
      <c r="R100">
        <f t="shared" si="9"/>
        <v>0</v>
      </c>
      <c r="T100">
        <f t="shared" si="10"/>
        <v>0</v>
      </c>
      <c r="U100">
        <f t="shared" si="11"/>
        <v>0</v>
      </c>
      <c r="V100">
        <f t="shared" si="12"/>
        <v>0</v>
      </c>
      <c r="AA100">
        <v>38752.800000000003</v>
      </c>
      <c r="AB100">
        <v>4712</v>
      </c>
      <c r="AC100">
        <v>89.7</v>
      </c>
      <c r="AD100">
        <v>4.3</v>
      </c>
      <c r="AE100">
        <f t="shared" si="13"/>
        <v>0</v>
      </c>
    </row>
    <row r="101" spans="1:31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P101">
        <f t="shared" si="7"/>
        <v>0</v>
      </c>
      <c r="Q101">
        <f t="shared" si="8"/>
        <v>0</v>
      </c>
      <c r="R101">
        <f t="shared" si="9"/>
        <v>0</v>
      </c>
      <c r="T101">
        <f t="shared" si="10"/>
        <v>0</v>
      </c>
      <c r="U101">
        <f t="shared" si="11"/>
        <v>0</v>
      </c>
      <c r="V101">
        <f t="shared" si="12"/>
        <v>0</v>
      </c>
      <c r="AA101">
        <v>55101.1</v>
      </c>
      <c r="AB101">
        <v>5281</v>
      </c>
      <c r="AC101">
        <v>91</v>
      </c>
      <c r="AD101">
        <v>4.4000000000000004</v>
      </c>
      <c r="AE101">
        <f t="shared" si="13"/>
        <v>0</v>
      </c>
    </row>
    <row r="102" spans="1:31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P102">
        <f t="shared" si="7"/>
        <v>1</v>
      </c>
      <c r="Q102">
        <f t="shared" si="8"/>
        <v>0</v>
      </c>
      <c r="R102">
        <f t="shared" si="9"/>
        <v>0</v>
      </c>
      <c r="T102">
        <f t="shared" si="10"/>
        <v>0</v>
      </c>
      <c r="U102">
        <f t="shared" si="11"/>
        <v>0</v>
      </c>
      <c r="V102">
        <f t="shared" si="12"/>
        <v>0</v>
      </c>
      <c r="AA102">
        <v>53084.76</v>
      </c>
      <c r="AB102">
        <v>3642</v>
      </c>
      <c r="AC102">
        <v>91.4</v>
      </c>
      <c r="AD102">
        <v>4.4000000000000004</v>
      </c>
      <c r="AE102">
        <f t="shared" si="13"/>
        <v>0</v>
      </c>
    </row>
    <row r="103" spans="1:31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P103">
        <f t="shared" si="7"/>
        <v>1</v>
      </c>
      <c r="Q103">
        <f t="shared" si="8"/>
        <v>0</v>
      </c>
      <c r="R103">
        <f t="shared" si="9"/>
        <v>0</v>
      </c>
      <c r="T103">
        <f t="shared" si="10"/>
        <v>0</v>
      </c>
      <c r="U103">
        <f t="shared" si="11"/>
        <v>0</v>
      </c>
      <c r="V103">
        <f t="shared" si="12"/>
        <v>0</v>
      </c>
      <c r="AA103">
        <v>63101.59</v>
      </c>
      <c r="AB103">
        <v>4373</v>
      </c>
      <c r="AC103">
        <v>90.4</v>
      </c>
      <c r="AD103">
        <v>4.7</v>
      </c>
      <c r="AE103">
        <f t="shared" si="13"/>
        <v>0</v>
      </c>
    </row>
    <row r="104" spans="1:31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P104">
        <f t="shared" si="7"/>
        <v>1</v>
      </c>
      <c r="Q104">
        <f t="shared" si="8"/>
        <v>0</v>
      </c>
      <c r="R104">
        <f t="shared" si="9"/>
        <v>0</v>
      </c>
      <c r="T104">
        <f t="shared" si="10"/>
        <v>0</v>
      </c>
      <c r="U104">
        <f t="shared" si="11"/>
        <v>0</v>
      </c>
      <c r="V104">
        <f t="shared" si="12"/>
        <v>0</v>
      </c>
      <c r="AA104">
        <v>90084.4</v>
      </c>
      <c r="AB104">
        <v>6832</v>
      </c>
      <c r="AC104">
        <v>80.5</v>
      </c>
      <c r="AD104">
        <v>4.4000000000000004</v>
      </c>
      <c r="AE104">
        <f t="shared" si="13"/>
        <v>0</v>
      </c>
    </row>
    <row r="105" spans="1:31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P105">
        <f t="shared" si="7"/>
        <v>1</v>
      </c>
      <c r="Q105">
        <f t="shared" si="8"/>
        <v>0</v>
      </c>
      <c r="R105">
        <f t="shared" si="9"/>
        <v>0</v>
      </c>
      <c r="T105">
        <f t="shared" si="10"/>
        <v>0</v>
      </c>
      <c r="U105">
        <f t="shared" si="11"/>
        <v>0</v>
      </c>
      <c r="V105">
        <f t="shared" si="12"/>
        <v>0</v>
      </c>
      <c r="AA105">
        <v>32266.639999999999</v>
      </c>
      <c r="AB105">
        <v>2414</v>
      </c>
      <c r="AC105">
        <v>92.1</v>
      </c>
      <c r="AD105">
        <v>5</v>
      </c>
      <c r="AE105">
        <f t="shared" si="13"/>
        <v>0</v>
      </c>
    </row>
    <row r="106" spans="1:31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P106">
        <f t="shared" si="7"/>
        <v>0</v>
      </c>
      <c r="Q106">
        <f t="shared" si="8"/>
        <v>0</v>
      </c>
      <c r="R106">
        <f t="shared" si="9"/>
        <v>0</v>
      </c>
      <c r="T106">
        <f t="shared" si="10"/>
        <v>0</v>
      </c>
      <c r="U106">
        <f t="shared" si="11"/>
        <v>1</v>
      </c>
      <c r="V106">
        <f t="shared" si="12"/>
        <v>0</v>
      </c>
      <c r="AA106">
        <v>57919.07</v>
      </c>
      <c r="AB106">
        <v>7374</v>
      </c>
      <c r="AC106">
        <v>82.3</v>
      </c>
      <c r="AD106">
        <v>2.9</v>
      </c>
      <c r="AE106">
        <f t="shared" si="13"/>
        <v>0</v>
      </c>
    </row>
    <row r="107" spans="1:31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P107">
        <f t="shared" si="7"/>
        <v>0</v>
      </c>
      <c r="Q107">
        <f t="shared" si="8"/>
        <v>0</v>
      </c>
      <c r="R107">
        <f t="shared" si="9"/>
        <v>0</v>
      </c>
      <c r="T107">
        <f t="shared" si="10"/>
        <v>0</v>
      </c>
      <c r="U107">
        <f t="shared" si="11"/>
        <v>1</v>
      </c>
      <c r="V107">
        <f t="shared" si="12"/>
        <v>0</v>
      </c>
      <c r="AA107">
        <v>74679.350000000006</v>
      </c>
      <c r="AB107">
        <v>8739</v>
      </c>
      <c r="AC107">
        <v>91.8</v>
      </c>
      <c r="AD107">
        <v>3</v>
      </c>
      <c r="AE107">
        <f t="shared" si="13"/>
        <v>0</v>
      </c>
    </row>
    <row r="108" spans="1:31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P108">
        <f t="shared" si="7"/>
        <v>0</v>
      </c>
      <c r="Q108">
        <f t="shared" si="8"/>
        <v>0</v>
      </c>
      <c r="R108">
        <f t="shared" si="9"/>
        <v>0</v>
      </c>
      <c r="T108">
        <f t="shared" si="10"/>
        <v>0</v>
      </c>
      <c r="U108">
        <f t="shared" si="11"/>
        <v>1</v>
      </c>
      <c r="V108">
        <f t="shared" si="12"/>
        <v>0</v>
      </c>
      <c r="AA108">
        <v>64294.23</v>
      </c>
      <c r="AB108">
        <v>6992</v>
      </c>
      <c r="AC108">
        <v>94.1</v>
      </c>
      <c r="AD108">
        <v>3</v>
      </c>
      <c r="AE108">
        <f t="shared" si="13"/>
        <v>0</v>
      </c>
    </row>
    <row r="109" spans="1:31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P109">
        <f t="shared" si="7"/>
        <v>0</v>
      </c>
      <c r="Q109">
        <f t="shared" si="8"/>
        <v>0</v>
      </c>
      <c r="R109">
        <f t="shared" si="9"/>
        <v>0</v>
      </c>
      <c r="T109">
        <f t="shared" si="10"/>
        <v>0</v>
      </c>
      <c r="U109">
        <f t="shared" si="11"/>
        <v>1</v>
      </c>
      <c r="V109">
        <f t="shared" si="12"/>
        <v>0</v>
      </c>
      <c r="AA109">
        <v>31042.03</v>
      </c>
      <c r="AB109">
        <v>7107</v>
      </c>
      <c r="AC109">
        <v>87</v>
      </c>
      <c r="AD109">
        <v>3.2</v>
      </c>
      <c r="AE109">
        <f t="shared" si="13"/>
        <v>0</v>
      </c>
    </row>
    <row r="110" spans="1:31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P110">
        <f t="shared" si="7"/>
        <v>1</v>
      </c>
      <c r="Q110">
        <f t="shared" si="8"/>
        <v>0</v>
      </c>
      <c r="R110">
        <f t="shared" si="9"/>
        <v>0</v>
      </c>
      <c r="T110">
        <f t="shared" si="10"/>
        <v>0</v>
      </c>
      <c r="U110">
        <f t="shared" si="11"/>
        <v>0</v>
      </c>
      <c r="V110">
        <f t="shared" si="12"/>
        <v>0</v>
      </c>
      <c r="AA110">
        <v>75265.02</v>
      </c>
      <c r="AB110">
        <v>6975</v>
      </c>
      <c r="AC110">
        <v>73.8</v>
      </c>
      <c r="AD110">
        <v>3.8</v>
      </c>
      <c r="AE110">
        <f t="shared" si="13"/>
        <v>0</v>
      </c>
    </row>
    <row r="111" spans="1:31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P111">
        <f t="shared" si="7"/>
        <v>1</v>
      </c>
      <c r="Q111">
        <f t="shared" si="8"/>
        <v>0</v>
      </c>
      <c r="R111">
        <f t="shared" si="9"/>
        <v>0</v>
      </c>
      <c r="T111">
        <f t="shared" si="10"/>
        <v>0</v>
      </c>
      <c r="U111">
        <f t="shared" si="11"/>
        <v>0</v>
      </c>
      <c r="V111">
        <f t="shared" si="12"/>
        <v>0</v>
      </c>
      <c r="AA111">
        <v>69411.7</v>
      </c>
      <c r="AB111">
        <v>5493</v>
      </c>
      <c r="AC111">
        <v>86.5</v>
      </c>
      <c r="AD111">
        <v>3.8</v>
      </c>
      <c r="AE111">
        <f t="shared" si="13"/>
        <v>0</v>
      </c>
    </row>
    <row r="112" spans="1:31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P112">
        <f t="shared" si="7"/>
        <v>1</v>
      </c>
      <c r="Q112">
        <f t="shared" si="8"/>
        <v>0</v>
      </c>
      <c r="R112">
        <f t="shared" si="9"/>
        <v>0</v>
      </c>
      <c r="T112">
        <f t="shared" si="10"/>
        <v>0</v>
      </c>
      <c r="U112">
        <f t="shared" si="11"/>
        <v>0</v>
      </c>
      <c r="V112">
        <f t="shared" si="12"/>
        <v>0</v>
      </c>
      <c r="AA112">
        <v>51056.15</v>
      </c>
      <c r="AB112">
        <v>5686</v>
      </c>
      <c r="AC112">
        <v>89.9</v>
      </c>
      <c r="AD112">
        <v>4.2</v>
      </c>
      <c r="AE112">
        <f t="shared" si="13"/>
        <v>0</v>
      </c>
    </row>
    <row r="113" spans="1:31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P113">
        <f t="shared" si="7"/>
        <v>1</v>
      </c>
      <c r="Q113">
        <f t="shared" si="8"/>
        <v>0</v>
      </c>
      <c r="R113">
        <f t="shared" si="9"/>
        <v>0</v>
      </c>
      <c r="T113">
        <f t="shared" si="10"/>
        <v>0</v>
      </c>
      <c r="U113">
        <f t="shared" si="11"/>
        <v>0</v>
      </c>
      <c r="V113">
        <f t="shared" si="12"/>
        <v>0</v>
      </c>
      <c r="AA113">
        <v>52758.01</v>
      </c>
      <c r="AB113">
        <v>4063</v>
      </c>
      <c r="AC113">
        <v>91.7</v>
      </c>
      <c r="AD113">
        <v>3.5</v>
      </c>
      <c r="AE113">
        <f t="shared" si="13"/>
        <v>0</v>
      </c>
    </row>
    <row r="114" spans="1:31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P114">
        <f t="shared" si="7"/>
        <v>0</v>
      </c>
      <c r="Q114">
        <f t="shared" si="8"/>
        <v>0</v>
      </c>
      <c r="R114">
        <f t="shared" si="9"/>
        <v>0</v>
      </c>
      <c r="T114">
        <f t="shared" si="10"/>
        <v>0</v>
      </c>
      <c r="U114">
        <f t="shared" si="11"/>
        <v>0</v>
      </c>
      <c r="V114">
        <f t="shared" si="12"/>
        <v>0</v>
      </c>
      <c r="AA114">
        <v>61426.04</v>
      </c>
      <c r="AB114">
        <v>8966</v>
      </c>
      <c r="AC114">
        <v>76.400000000000006</v>
      </c>
      <c r="AD114">
        <v>3.1</v>
      </c>
      <c r="AE114">
        <f t="shared" si="13"/>
        <v>0</v>
      </c>
    </row>
    <row r="115" spans="1:31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P115">
        <f t="shared" si="7"/>
        <v>0</v>
      </c>
      <c r="Q115">
        <f t="shared" si="8"/>
        <v>0</v>
      </c>
      <c r="R115">
        <f t="shared" si="9"/>
        <v>0</v>
      </c>
      <c r="T115">
        <f t="shared" si="10"/>
        <v>0</v>
      </c>
      <c r="U115">
        <f t="shared" si="11"/>
        <v>0</v>
      </c>
      <c r="V115">
        <f t="shared" si="12"/>
        <v>0</v>
      </c>
      <c r="AA115">
        <v>80176.34</v>
      </c>
      <c r="AB115">
        <v>9489</v>
      </c>
      <c r="AC115">
        <v>94.3</v>
      </c>
      <c r="AD115">
        <v>3.5</v>
      </c>
      <c r="AE115">
        <f t="shared" si="13"/>
        <v>0</v>
      </c>
    </row>
    <row r="116" spans="1:31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P116">
        <f t="shared" si="7"/>
        <v>0</v>
      </c>
      <c r="Q116">
        <f t="shared" si="8"/>
        <v>0</v>
      </c>
      <c r="R116">
        <f t="shared" si="9"/>
        <v>0</v>
      </c>
      <c r="T116">
        <f t="shared" si="10"/>
        <v>0</v>
      </c>
      <c r="U116">
        <f t="shared" si="11"/>
        <v>0</v>
      </c>
      <c r="V116">
        <f t="shared" si="12"/>
        <v>0</v>
      </c>
      <c r="AA116">
        <v>33605.18</v>
      </c>
      <c r="AB116">
        <v>9225</v>
      </c>
      <c r="AC116">
        <v>88.4</v>
      </c>
      <c r="AD116">
        <v>2.8</v>
      </c>
      <c r="AE116">
        <f t="shared" si="13"/>
        <v>0</v>
      </c>
    </row>
    <row r="117" spans="1:31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P117">
        <f t="shared" si="7"/>
        <v>0</v>
      </c>
      <c r="Q117">
        <f t="shared" si="8"/>
        <v>0</v>
      </c>
      <c r="R117">
        <f t="shared" si="9"/>
        <v>0</v>
      </c>
      <c r="T117">
        <f t="shared" si="10"/>
        <v>0</v>
      </c>
      <c r="U117">
        <f t="shared" si="11"/>
        <v>0</v>
      </c>
      <c r="V117">
        <f t="shared" si="12"/>
        <v>0</v>
      </c>
      <c r="AA117">
        <v>25990.54</v>
      </c>
      <c r="AB117">
        <v>9249</v>
      </c>
      <c r="AC117">
        <v>92.5</v>
      </c>
      <c r="AD117">
        <v>3.3</v>
      </c>
      <c r="AE117">
        <f t="shared" si="13"/>
        <v>0</v>
      </c>
    </row>
    <row r="118" spans="1:31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P118">
        <f t="shared" si="7"/>
        <v>0</v>
      </c>
      <c r="Q118">
        <f t="shared" si="8"/>
        <v>0</v>
      </c>
      <c r="R118">
        <f t="shared" si="9"/>
        <v>0</v>
      </c>
      <c r="T118">
        <f t="shared" si="10"/>
        <v>1</v>
      </c>
      <c r="U118">
        <f t="shared" si="11"/>
        <v>0</v>
      </c>
      <c r="V118">
        <f t="shared" si="12"/>
        <v>0</v>
      </c>
      <c r="AA118">
        <v>43685.14</v>
      </c>
      <c r="AB118">
        <v>7821</v>
      </c>
      <c r="AC118">
        <v>91</v>
      </c>
      <c r="AD118">
        <v>4.7</v>
      </c>
      <c r="AE118">
        <f t="shared" si="13"/>
        <v>0</v>
      </c>
    </row>
    <row r="119" spans="1:31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P119">
        <f t="shared" si="7"/>
        <v>0</v>
      </c>
      <c r="Q119">
        <f t="shared" si="8"/>
        <v>0</v>
      </c>
      <c r="R119">
        <f t="shared" si="9"/>
        <v>0</v>
      </c>
      <c r="T119">
        <f t="shared" si="10"/>
        <v>1</v>
      </c>
      <c r="U119">
        <f t="shared" si="11"/>
        <v>0</v>
      </c>
      <c r="V119">
        <f t="shared" si="12"/>
        <v>0</v>
      </c>
      <c r="AA119">
        <v>57360.01</v>
      </c>
      <c r="AB119">
        <v>8434</v>
      </c>
      <c r="AC119">
        <v>84.1</v>
      </c>
      <c r="AD119">
        <v>4.7</v>
      </c>
      <c r="AE119">
        <f t="shared" si="13"/>
        <v>0</v>
      </c>
    </row>
    <row r="120" spans="1:31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P120">
        <f t="shared" si="7"/>
        <v>0</v>
      </c>
      <c r="Q120">
        <f t="shared" si="8"/>
        <v>0</v>
      </c>
      <c r="R120">
        <f t="shared" si="9"/>
        <v>0</v>
      </c>
      <c r="T120">
        <f t="shared" si="10"/>
        <v>1</v>
      </c>
      <c r="U120">
        <f t="shared" si="11"/>
        <v>0</v>
      </c>
      <c r="V120">
        <f t="shared" si="12"/>
        <v>0</v>
      </c>
      <c r="AA120">
        <v>42415.47</v>
      </c>
      <c r="AB120">
        <v>8512</v>
      </c>
      <c r="AC120">
        <v>96.8</v>
      </c>
      <c r="AD120">
        <v>4.5999999999999996</v>
      </c>
      <c r="AE120">
        <f t="shared" si="13"/>
        <v>0</v>
      </c>
    </row>
    <row r="121" spans="1:31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P121">
        <f t="shared" si="7"/>
        <v>0</v>
      </c>
      <c r="Q121">
        <f t="shared" si="8"/>
        <v>0</v>
      </c>
      <c r="R121">
        <f t="shared" si="9"/>
        <v>0</v>
      </c>
      <c r="T121">
        <f t="shared" si="10"/>
        <v>1</v>
      </c>
      <c r="U121">
        <f t="shared" si="11"/>
        <v>0</v>
      </c>
      <c r="V121">
        <f t="shared" si="12"/>
        <v>0</v>
      </c>
      <c r="AA121">
        <v>54968.98</v>
      </c>
      <c r="AB121">
        <v>7816</v>
      </c>
      <c r="AC121">
        <v>95.7</v>
      </c>
      <c r="AD121">
        <v>4.7</v>
      </c>
      <c r="AE121">
        <f t="shared" si="13"/>
        <v>0</v>
      </c>
    </row>
    <row r="122" spans="1:31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P122">
        <f t="shared" si="7"/>
        <v>0</v>
      </c>
      <c r="Q122">
        <f t="shared" si="8"/>
        <v>1</v>
      </c>
      <c r="R122">
        <f t="shared" si="9"/>
        <v>0</v>
      </c>
      <c r="T122">
        <f t="shared" si="10"/>
        <v>0</v>
      </c>
      <c r="U122">
        <f t="shared" si="11"/>
        <v>1</v>
      </c>
      <c r="V122">
        <f t="shared" si="12"/>
        <v>0</v>
      </c>
      <c r="AA122">
        <v>43896.13</v>
      </c>
      <c r="AB122">
        <v>3853</v>
      </c>
      <c r="AC122">
        <v>83</v>
      </c>
      <c r="AD122">
        <v>4.4000000000000004</v>
      </c>
      <c r="AE122">
        <f t="shared" si="13"/>
        <v>0</v>
      </c>
    </row>
    <row r="123" spans="1:31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P123">
        <f t="shared" si="7"/>
        <v>0</v>
      </c>
      <c r="Q123">
        <f t="shared" si="8"/>
        <v>1</v>
      </c>
      <c r="R123">
        <f t="shared" si="9"/>
        <v>0</v>
      </c>
      <c r="T123">
        <f t="shared" si="10"/>
        <v>0</v>
      </c>
      <c r="U123">
        <f t="shared" si="11"/>
        <v>1</v>
      </c>
      <c r="V123">
        <f t="shared" si="12"/>
        <v>0</v>
      </c>
      <c r="AA123">
        <v>83044.17</v>
      </c>
      <c r="AB123">
        <v>3694</v>
      </c>
      <c r="AC123">
        <v>89.4</v>
      </c>
      <c r="AD123">
        <v>3.7</v>
      </c>
      <c r="AE123">
        <f t="shared" si="13"/>
        <v>0</v>
      </c>
    </row>
    <row r="124" spans="1:31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P124">
        <f t="shared" si="7"/>
        <v>0</v>
      </c>
      <c r="Q124">
        <f t="shared" si="8"/>
        <v>1</v>
      </c>
      <c r="R124">
        <f t="shared" si="9"/>
        <v>0</v>
      </c>
      <c r="T124">
        <f t="shared" si="10"/>
        <v>0</v>
      </c>
      <c r="U124">
        <f t="shared" si="11"/>
        <v>1</v>
      </c>
      <c r="V124">
        <f t="shared" si="12"/>
        <v>0</v>
      </c>
      <c r="AA124">
        <v>48396.13</v>
      </c>
      <c r="AB124">
        <v>4423</v>
      </c>
      <c r="AC124">
        <v>85.7</v>
      </c>
      <c r="AD124">
        <v>3.9</v>
      </c>
      <c r="AE124">
        <f t="shared" si="13"/>
        <v>0</v>
      </c>
    </row>
    <row r="125" spans="1:31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P125">
        <f t="shared" si="7"/>
        <v>0</v>
      </c>
      <c r="Q125">
        <f t="shared" si="8"/>
        <v>1</v>
      </c>
      <c r="R125">
        <f t="shared" si="9"/>
        <v>0</v>
      </c>
      <c r="T125">
        <f t="shared" si="10"/>
        <v>0</v>
      </c>
      <c r="U125">
        <f t="shared" si="11"/>
        <v>1</v>
      </c>
      <c r="V125">
        <f t="shared" si="12"/>
        <v>0</v>
      </c>
      <c r="AA125">
        <v>19063.48</v>
      </c>
      <c r="AB125">
        <v>1906</v>
      </c>
      <c r="AC125">
        <v>97.8</v>
      </c>
      <c r="AD125">
        <v>4.4000000000000004</v>
      </c>
      <c r="AE125">
        <f t="shared" si="13"/>
        <v>0</v>
      </c>
    </row>
    <row r="126" spans="1:31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P126">
        <f t="shared" si="7"/>
        <v>0</v>
      </c>
      <c r="Q126">
        <f t="shared" si="8"/>
        <v>0</v>
      </c>
      <c r="R126">
        <f t="shared" si="9"/>
        <v>1</v>
      </c>
      <c r="T126">
        <f t="shared" si="10"/>
        <v>0</v>
      </c>
      <c r="U126">
        <f t="shared" si="11"/>
        <v>1</v>
      </c>
      <c r="V126">
        <f t="shared" si="12"/>
        <v>0</v>
      </c>
      <c r="AA126">
        <v>61541.21</v>
      </c>
      <c r="AB126">
        <v>10396</v>
      </c>
      <c r="AC126">
        <v>88.1</v>
      </c>
      <c r="AD126">
        <v>4.8</v>
      </c>
      <c r="AE126">
        <f t="shared" si="13"/>
        <v>0</v>
      </c>
    </row>
    <row r="127" spans="1:31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P127">
        <f t="shared" si="7"/>
        <v>0</v>
      </c>
      <c r="Q127">
        <f t="shared" si="8"/>
        <v>0</v>
      </c>
      <c r="R127">
        <f t="shared" si="9"/>
        <v>1</v>
      </c>
      <c r="T127">
        <f t="shared" si="10"/>
        <v>0</v>
      </c>
      <c r="U127">
        <f t="shared" si="11"/>
        <v>1</v>
      </c>
      <c r="V127">
        <f t="shared" si="12"/>
        <v>0</v>
      </c>
      <c r="AA127">
        <v>44747</v>
      </c>
      <c r="AB127">
        <v>11076</v>
      </c>
      <c r="AC127">
        <v>98.3</v>
      </c>
      <c r="AD127">
        <v>4.4000000000000004</v>
      </c>
      <c r="AE127">
        <f t="shared" si="13"/>
        <v>0</v>
      </c>
    </row>
    <row r="128" spans="1:31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P128">
        <f t="shared" si="7"/>
        <v>0</v>
      </c>
      <c r="Q128">
        <f t="shared" si="8"/>
        <v>0</v>
      </c>
      <c r="R128">
        <f t="shared" si="9"/>
        <v>1</v>
      </c>
      <c r="T128">
        <f t="shared" si="10"/>
        <v>0</v>
      </c>
      <c r="U128">
        <f t="shared" si="11"/>
        <v>1</v>
      </c>
      <c r="V128">
        <f t="shared" si="12"/>
        <v>0</v>
      </c>
      <c r="AA128">
        <v>56517.9</v>
      </c>
      <c r="AB128">
        <v>9574</v>
      </c>
      <c r="AC128">
        <v>88.2</v>
      </c>
      <c r="AD128">
        <v>4.9000000000000004</v>
      </c>
      <c r="AE128">
        <f t="shared" si="13"/>
        <v>0</v>
      </c>
    </row>
    <row r="129" spans="1:31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P129">
        <f t="shared" si="7"/>
        <v>0</v>
      </c>
      <c r="Q129">
        <f t="shared" si="8"/>
        <v>0</v>
      </c>
      <c r="R129">
        <f t="shared" si="9"/>
        <v>1</v>
      </c>
      <c r="T129">
        <f t="shared" si="10"/>
        <v>0</v>
      </c>
      <c r="U129">
        <f t="shared" si="11"/>
        <v>1</v>
      </c>
      <c r="V129">
        <f t="shared" si="12"/>
        <v>0</v>
      </c>
      <c r="AA129">
        <v>37828.5</v>
      </c>
      <c r="AB129">
        <v>8221</v>
      </c>
      <c r="AC129">
        <v>81.5</v>
      </c>
      <c r="AD129">
        <v>4.8</v>
      </c>
      <c r="AE129">
        <f t="shared" si="13"/>
        <v>0</v>
      </c>
    </row>
    <row r="130" spans="1:31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P130">
        <f t="shared" si="7"/>
        <v>1</v>
      </c>
      <c r="Q130">
        <f t="shared" si="8"/>
        <v>0</v>
      </c>
      <c r="R130">
        <f t="shared" si="9"/>
        <v>0</v>
      </c>
      <c r="T130">
        <f t="shared" si="10"/>
        <v>0</v>
      </c>
      <c r="U130">
        <f t="shared" si="11"/>
        <v>1</v>
      </c>
      <c r="V130">
        <f t="shared" si="12"/>
        <v>0</v>
      </c>
      <c r="AA130">
        <v>66250.53</v>
      </c>
      <c r="AB130">
        <v>10618</v>
      </c>
      <c r="AC130">
        <v>88.3</v>
      </c>
      <c r="AD130">
        <v>4.4000000000000004</v>
      </c>
      <c r="AE130">
        <f t="shared" si="13"/>
        <v>0</v>
      </c>
    </row>
    <row r="131" spans="1:31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P131">
        <f t="shared" ref="P131:P194" si="14">IF(C131="East",1,0)</f>
        <v>1</v>
      </c>
      <c r="Q131">
        <f t="shared" ref="Q131:Q194" si="15">IF(C131="North",1,0)</f>
        <v>0</v>
      </c>
      <c r="R131">
        <f t="shared" ref="R131:R194" si="16">IF(C131="South",1,0)</f>
        <v>0</v>
      </c>
      <c r="T131">
        <f t="shared" ref="T131:T194" si="17">IF(D131="Residential",1,0)</f>
        <v>0</v>
      </c>
      <c r="U131">
        <f t="shared" ref="U131:U194" si="18">IF(D131="High Street",1,0)</f>
        <v>1</v>
      </c>
      <c r="V131">
        <f t="shared" ref="V131:V194" si="19">IF(D131="Airport",1,0)</f>
        <v>0</v>
      </c>
      <c r="AA131">
        <v>68410.929999999993</v>
      </c>
      <c r="AB131">
        <v>10596</v>
      </c>
      <c r="AC131">
        <v>81.2</v>
      </c>
      <c r="AD131">
        <v>4</v>
      </c>
      <c r="AE131">
        <f t="shared" ref="AE131:AE194" si="20">IF(Q131="North",1,0)</f>
        <v>0</v>
      </c>
    </row>
    <row r="132" spans="1:31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P132">
        <f t="shared" si="14"/>
        <v>1</v>
      </c>
      <c r="Q132">
        <f t="shared" si="15"/>
        <v>0</v>
      </c>
      <c r="R132">
        <f t="shared" si="16"/>
        <v>0</v>
      </c>
      <c r="T132">
        <f t="shared" si="17"/>
        <v>0</v>
      </c>
      <c r="U132">
        <f t="shared" si="18"/>
        <v>1</v>
      </c>
      <c r="V132">
        <f t="shared" si="19"/>
        <v>0</v>
      </c>
      <c r="AA132">
        <v>50735.63</v>
      </c>
      <c r="AB132">
        <v>9619</v>
      </c>
      <c r="AC132">
        <v>93.8</v>
      </c>
      <c r="AD132">
        <v>4.5</v>
      </c>
      <c r="AE132">
        <f t="shared" si="20"/>
        <v>0</v>
      </c>
    </row>
    <row r="133" spans="1:31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P133">
        <f t="shared" si="14"/>
        <v>1</v>
      </c>
      <c r="Q133">
        <f t="shared" si="15"/>
        <v>0</v>
      </c>
      <c r="R133">
        <f t="shared" si="16"/>
        <v>0</v>
      </c>
      <c r="T133">
        <f t="shared" si="17"/>
        <v>0</v>
      </c>
      <c r="U133">
        <f t="shared" si="18"/>
        <v>1</v>
      </c>
      <c r="V133">
        <f t="shared" si="19"/>
        <v>0</v>
      </c>
      <c r="AA133">
        <v>66455.8</v>
      </c>
      <c r="AB133">
        <v>10836</v>
      </c>
      <c r="AC133">
        <v>85</v>
      </c>
      <c r="AD133">
        <v>4.5</v>
      </c>
      <c r="AE133">
        <f t="shared" si="20"/>
        <v>0</v>
      </c>
    </row>
    <row r="134" spans="1:31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P134">
        <f t="shared" si="14"/>
        <v>0</v>
      </c>
      <c r="Q134">
        <f t="shared" si="15"/>
        <v>1</v>
      </c>
      <c r="R134">
        <f t="shared" si="16"/>
        <v>0</v>
      </c>
      <c r="T134">
        <f t="shared" si="17"/>
        <v>0</v>
      </c>
      <c r="U134">
        <f t="shared" si="18"/>
        <v>1</v>
      </c>
      <c r="V134">
        <f t="shared" si="19"/>
        <v>0</v>
      </c>
      <c r="AA134">
        <v>70276.28</v>
      </c>
      <c r="AB134">
        <v>3043</v>
      </c>
      <c r="AC134">
        <v>87.9</v>
      </c>
      <c r="AD134">
        <v>4.4000000000000004</v>
      </c>
      <c r="AE134">
        <f t="shared" si="20"/>
        <v>0</v>
      </c>
    </row>
    <row r="135" spans="1:31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3.9239999999999999</v>
      </c>
      <c r="M135">
        <v>400831.65</v>
      </c>
      <c r="N135">
        <v>70979.31</v>
      </c>
      <c r="P135">
        <f t="shared" si="14"/>
        <v>0</v>
      </c>
      <c r="Q135">
        <f t="shared" si="15"/>
        <v>1</v>
      </c>
      <c r="R135">
        <f t="shared" si="16"/>
        <v>0</v>
      </c>
      <c r="T135">
        <f t="shared" si="17"/>
        <v>0</v>
      </c>
      <c r="U135">
        <f t="shared" si="18"/>
        <v>1</v>
      </c>
      <c r="V135">
        <f t="shared" si="19"/>
        <v>0</v>
      </c>
      <c r="AA135">
        <v>22071.64</v>
      </c>
      <c r="AB135">
        <v>1814</v>
      </c>
      <c r="AC135">
        <v>81.099999999999994</v>
      </c>
      <c r="AD135">
        <v>3.9239999999999999</v>
      </c>
      <c r="AE135">
        <f t="shared" si="20"/>
        <v>0</v>
      </c>
    </row>
    <row r="136" spans="1:31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P136">
        <f t="shared" si="14"/>
        <v>0</v>
      </c>
      <c r="Q136">
        <f t="shared" si="15"/>
        <v>1</v>
      </c>
      <c r="R136">
        <f t="shared" si="16"/>
        <v>0</v>
      </c>
      <c r="T136">
        <f t="shared" si="17"/>
        <v>0</v>
      </c>
      <c r="U136">
        <f t="shared" si="18"/>
        <v>1</v>
      </c>
      <c r="V136">
        <f t="shared" si="19"/>
        <v>0</v>
      </c>
      <c r="AA136">
        <v>52285.45</v>
      </c>
      <c r="AB136">
        <v>3618</v>
      </c>
      <c r="AC136">
        <v>95.6</v>
      </c>
      <c r="AD136">
        <v>4.4000000000000004</v>
      </c>
      <c r="AE136">
        <f t="shared" si="20"/>
        <v>0</v>
      </c>
    </row>
    <row r="137" spans="1:31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P137">
        <f t="shared" si="14"/>
        <v>0</v>
      </c>
      <c r="Q137">
        <f t="shared" si="15"/>
        <v>1</v>
      </c>
      <c r="R137">
        <f t="shared" si="16"/>
        <v>0</v>
      </c>
      <c r="T137">
        <f t="shared" si="17"/>
        <v>0</v>
      </c>
      <c r="U137">
        <f t="shared" si="18"/>
        <v>1</v>
      </c>
      <c r="V137">
        <f t="shared" si="19"/>
        <v>0</v>
      </c>
      <c r="AA137">
        <v>70366.759999999995</v>
      </c>
      <c r="AB137">
        <v>1963</v>
      </c>
      <c r="AC137">
        <v>89.8</v>
      </c>
      <c r="AD137">
        <v>4.5999999999999996</v>
      </c>
      <c r="AE137">
        <f t="shared" si="20"/>
        <v>0</v>
      </c>
    </row>
    <row r="138" spans="1:31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3.9239999999999999</v>
      </c>
      <c r="M138">
        <v>633638.03</v>
      </c>
      <c r="N138">
        <v>99402.01</v>
      </c>
      <c r="P138">
        <f t="shared" si="14"/>
        <v>0</v>
      </c>
      <c r="Q138">
        <f t="shared" si="15"/>
        <v>0</v>
      </c>
      <c r="R138">
        <f t="shared" si="16"/>
        <v>1</v>
      </c>
      <c r="T138">
        <f t="shared" si="17"/>
        <v>1</v>
      </c>
      <c r="U138">
        <f t="shared" si="18"/>
        <v>0</v>
      </c>
      <c r="V138">
        <f t="shared" si="19"/>
        <v>0</v>
      </c>
      <c r="AA138">
        <v>71320.66</v>
      </c>
      <c r="AB138">
        <v>7888</v>
      </c>
      <c r="AC138">
        <v>78.099999999999994</v>
      </c>
      <c r="AD138">
        <v>3.9239999999999999</v>
      </c>
      <c r="AE138">
        <f t="shared" si="20"/>
        <v>0</v>
      </c>
    </row>
    <row r="139" spans="1:31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P139">
        <f t="shared" si="14"/>
        <v>0</v>
      </c>
      <c r="Q139">
        <f t="shared" si="15"/>
        <v>0</v>
      </c>
      <c r="R139">
        <f t="shared" si="16"/>
        <v>1</v>
      </c>
      <c r="T139">
        <f t="shared" si="17"/>
        <v>1</v>
      </c>
      <c r="U139">
        <f t="shared" si="18"/>
        <v>0</v>
      </c>
      <c r="V139">
        <f t="shared" si="19"/>
        <v>0</v>
      </c>
      <c r="AA139">
        <v>75109.67</v>
      </c>
      <c r="AB139">
        <v>6244</v>
      </c>
      <c r="AC139">
        <v>96.3</v>
      </c>
      <c r="AD139">
        <v>3.7</v>
      </c>
      <c r="AE139">
        <f t="shared" si="20"/>
        <v>0</v>
      </c>
    </row>
    <row r="140" spans="1:31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P140">
        <f t="shared" si="14"/>
        <v>0</v>
      </c>
      <c r="Q140">
        <f t="shared" si="15"/>
        <v>0</v>
      </c>
      <c r="R140">
        <f t="shared" si="16"/>
        <v>1</v>
      </c>
      <c r="T140">
        <f t="shared" si="17"/>
        <v>1</v>
      </c>
      <c r="U140">
        <f t="shared" si="18"/>
        <v>0</v>
      </c>
      <c r="V140">
        <f t="shared" si="19"/>
        <v>0</v>
      </c>
      <c r="AA140">
        <v>69779</v>
      </c>
      <c r="AB140">
        <v>6544</v>
      </c>
      <c r="AC140">
        <v>90.2</v>
      </c>
      <c r="AD140">
        <v>3.3</v>
      </c>
      <c r="AE140">
        <f t="shared" si="20"/>
        <v>0</v>
      </c>
    </row>
    <row r="141" spans="1:31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P141">
        <f t="shared" si="14"/>
        <v>0</v>
      </c>
      <c r="Q141">
        <f t="shared" si="15"/>
        <v>0</v>
      </c>
      <c r="R141">
        <f t="shared" si="16"/>
        <v>1</v>
      </c>
      <c r="T141">
        <f t="shared" si="17"/>
        <v>1</v>
      </c>
      <c r="U141">
        <f t="shared" si="18"/>
        <v>0</v>
      </c>
      <c r="V141">
        <f t="shared" si="19"/>
        <v>0</v>
      </c>
      <c r="AA141">
        <v>44211.95</v>
      </c>
      <c r="AB141">
        <v>5465</v>
      </c>
      <c r="AC141">
        <v>90</v>
      </c>
      <c r="AD141">
        <v>3.6</v>
      </c>
      <c r="AE141">
        <f t="shared" si="20"/>
        <v>0</v>
      </c>
    </row>
    <row r="142" spans="1:31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P142">
        <f t="shared" si="14"/>
        <v>0</v>
      </c>
      <c r="Q142">
        <f t="shared" si="15"/>
        <v>0</v>
      </c>
      <c r="R142">
        <f t="shared" si="16"/>
        <v>0</v>
      </c>
      <c r="T142">
        <f t="shared" si="17"/>
        <v>0</v>
      </c>
      <c r="U142">
        <f t="shared" si="18"/>
        <v>1</v>
      </c>
      <c r="V142">
        <f t="shared" si="19"/>
        <v>0</v>
      </c>
      <c r="AA142">
        <v>51430.31</v>
      </c>
      <c r="AB142">
        <v>6427</v>
      </c>
      <c r="AC142">
        <v>88.8</v>
      </c>
      <c r="AD142">
        <v>4.0999999999999996</v>
      </c>
      <c r="AE142">
        <f t="shared" si="20"/>
        <v>0</v>
      </c>
    </row>
    <row r="143" spans="1:31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P143">
        <f t="shared" si="14"/>
        <v>0</v>
      </c>
      <c r="Q143">
        <f t="shared" si="15"/>
        <v>0</v>
      </c>
      <c r="R143">
        <f t="shared" si="16"/>
        <v>0</v>
      </c>
      <c r="T143">
        <f t="shared" si="17"/>
        <v>0</v>
      </c>
      <c r="U143">
        <f t="shared" si="18"/>
        <v>1</v>
      </c>
      <c r="V143">
        <f t="shared" si="19"/>
        <v>0</v>
      </c>
      <c r="AA143">
        <v>45706.49</v>
      </c>
      <c r="AB143">
        <v>6704</v>
      </c>
      <c r="AC143">
        <v>94.2</v>
      </c>
      <c r="AD143">
        <v>4.2</v>
      </c>
      <c r="AE143">
        <f t="shared" si="20"/>
        <v>0</v>
      </c>
    </row>
    <row r="144" spans="1:31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P144">
        <f t="shared" si="14"/>
        <v>0</v>
      </c>
      <c r="Q144">
        <f t="shared" si="15"/>
        <v>0</v>
      </c>
      <c r="R144">
        <f t="shared" si="16"/>
        <v>0</v>
      </c>
      <c r="T144">
        <f t="shared" si="17"/>
        <v>0</v>
      </c>
      <c r="U144">
        <f t="shared" si="18"/>
        <v>1</v>
      </c>
      <c r="V144">
        <f t="shared" si="19"/>
        <v>0</v>
      </c>
      <c r="AA144">
        <v>44034.6</v>
      </c>
      <c r="AB144">
        <v>5645</v>
      </c>
      <c r="AC144">
        <v>88.5</v>
      </c>
      <c r="AD144">
        <v>3.8</v>
      </c>
      <c r="AE144">
        <f t="shared" si="20"/>
        <v>0</v>
      </c>
    </row>
    <row r="145" spans="1:31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P145">
        <f t="shared" si="14"/>
        <v>0</v>
      </c>
      <c r="Q145">
        <f t="shared" si="15"/>
        <v>0</v>
      </c>
      <c r="R145">
        <f t="shared" si="16"/>
        <v>0</v>
      </c>
      <c r="T145">
        <f t="shared" si="17"/>
        <v>0</v>
      </c>
      <c r="U145">
        <f t="shared" si="18"/>
        <v>1</v>
      </c>
      <c r="V145">
        <f t="shared" si="19"/>
        <v>0</v>
      </c>
      <c r="AA145">
        <v>50198.12</v>
      </c>
      <c r="AB145">
        <v>6089</v>
      </c>
      <c r="AC145">
        <v>94</v>
      </c>
      <c r="AD145">
        <v>3.9</v>
      </c>
      <c r="AE145">
        <f t="shared" si="20"/>
        <v>0</v>
      </c>
    </row>
    <row r="146" spans="1:31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P146">
        <f t="shared" si="14"/>
        <v>0</v>
      </c>
      <c r="Q146">
        <f t="shared" si="15"/>
        <v>1</v>
      </c>
      <c r="R146">
        <f t="shared" si="16"/>
        <v>0</v>
      </c>
      <c r="T146">
        <f t="shared" si="17"/>
        <v>1</v>
      </c>
      <c r="U146">
        <f t="shared" si="18"/>
        <v>0</v>
      </c>
      <c r="V146">
        <f t="shared" si="19"/>
        <v>0</v>
      </c>
      <c r="AA146">
        <v>70488.2</v>
      </c>
      <c r="AB146">
        <v>4312</v>
      </c>
      <c r="AC146">
        <v>90.2</v>
      </c>
      <c r="AD146">
        <v>3.2</v>
      </c>
      <c r="AE146">
        <f t="shared" si="20"/>
        <v>0</v>
      </c>
    </row>
    <row r="147" spans="1:31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P147">
        <f t="shared" si="14"/>
        <v>0</v>
      </c>
      <c r="Q147">
        <f t="shared" si="15"/>
        <v>1</v>
      </c>
      <c r="R147">
        <f t="shared" si="16"/>
        <v>0</v>
      </c>
      <c r="T147">
        <f t="shared" si="17"/>
        <v>1</v>
      </c>
      <c r="U147">
        <f t="shared" si="18"/>
        <v>0</v>
      </c>
      <c r="V147">
        <f t="shared" si="19"/>
        <v>0</v>
      </c>
      <c r="AA147">
        <v>50909.27</v>
      </c>
      <c r="AB147">
        <v>3152</v>
      </c>
      <c r="AC147">
        <v>93.7</v>
      </c>
      <c r="AD147">
        <v>3.5</v>
      </c>
      <c r="AE147">
        <f t="shared" si="20"/>
        <v>0</v>
      </c>
    </row>
    <row r="148" spans="1:31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P148">
        <f t="shared" si="14"/>
        <v>0</v>
      </c>
      <c r="Q148">
        <f t="shared" si="15"/>
        <v>1</v>
      </c>
      <c r="R148">
        <f t="shared" si="16"/>
        <v>0</v>
      </c>
      <c r="T148">
        <f t="shared" si="17"/>
        <v>1</v>
      </c>
      <c r="U148">
        <f t="shared" si="18"/>
        <v>0</v>
      </c>
      <c r="V148">
        <f t="shared" si="19"/>
        <v>0</v>
      </c>
      <c r="AA148">
        <v>53351.7</v>
      </c>
      <c r="AB148">
        <v>4259</v>
      </c>
      <c r="AC148">
        <v>93.7</v>
      </c>
      <c r="AD148">
        <v>3.4</v>
      </c>
      <c r="AE148">
        <f t="shared" si="20"/>
        <v>0</v>
      </c>
    </row>
    <row r="149" spans="1:31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P149">
        <f t="shared" si="14"/>
        <v>0</v>
      </c>
      <c r="Q149">
        <f t="shared" si="15"/>
        <v>1</v>
      </c>
      <c r="R149">
        <f t="shared" si="16"/>
        <v>0</v>
      </c>
      <c r="T149">
        <f t="shared" si="17"/>
        <v>1</v>
      </c>
      <c r="U149">
        <f t="shared" si="18"/>
        <v>0</v>
      </c>
      <c r="V149">
        <f t="shared" si="19"/>
        <v>0</v>
      </c>
      <c r="AA149">
        <v>60322.400000000001</v>
      </c>
      <c r="AB149">
        <v>3350</v>
      </c>
      <c r="AC149">
        <v>89.4</v>
      </c>
      <c r="AD149">
        <v>3.4</v>
      </c>
      <c r="AE149">
        <f t="shared" si="20"/>
        <v>0</v>
      </c>
    </row>
    <row r="150" spans="1:31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P150">
        <f t="shared" si="14"/>
        <v>0</v>
      </c>
      <c r="Q150">
        <f t="shared" si="15"/>
        <v>0</v>
      </c>
      <c r="R150">
        <f t="shared" si="16"/>
        <v>1</v>
      </c>
      <c r="T150">
        <f t="shared" si="17"/>
        <v>0</v>
      </c>
      <c r="U150">
        <f t="shared" si="18"/>
        <v>0</v>
      </c>
      <c r="V150">
        <f t="shared" si="19"/>
        <v>0</v>
      </c>
      <c r="AA150">
        <v>51575.68</v>
      </c>
      <c r="AB150">
        <v>5329</v>
      </c>
      <c r="AC150">
        <v>88.1</v>
      </c>
      <c r="AD150">
        <v>3.8</v>
      </c>
      <c r="AE150">
        <f t="shared" si="20"/>
        <v>0</v>
      </c>
    </row>
    <row r="151" spans="1:31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P151">
        <f t="shared" si="14"/>
        <v>0</v>
      </c>
      <c r="Q151">
        <f t="shared" si="15"/>
        <v>0</v>
      </c>
      <c r="R151">
        <f t="shared" si="16"/>
        <v>1</v>
      </c>
      <c r="T151">
        <f t="shared" si="17"/>
        <v>0</v>
      </c>
      <c r="U151">
        <f t="shared" si="18"/>
        <v>0</v>
      </c>
      <c r="V151">
        <f t="shared" si="19"/>
        <v>0</v>
      </c>
      <c r="AA151">
        <v>43319.94</v>
      </c>
      <c r="AB151">
        <v>6551</v>
      </c>
      <c r="AC151">
        <v>99</v>
      </c>
      <c r="AD151">
        <v>4.0999999999999996</v>
      </c>
      <c r="AE151">
        <f t="shared" si="20"/>
        <v>0</v>
      </c>
    </row>
    <row r="152" spans="1:31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P152">
        <f t="shared" si="14"/>
        <v>0</v>
      </c>
      <c r="Q152">
        <f t="shared" si="15"/>
        <v>0</v>
      </c>
      <c r="R152">
        <f t="shared" si="16"/>
        <v>1</v>
      </c>
      <c r="T152">
        <f t="shared" si="17"/>
        <v>0</v>
      </c>
      <c r="U152">
        <f t="shared" si="18"/>
        <v>0</v>
      </c>
      <c r="V152">
        <f t="shared" si="19"/>
        <v>0</v>
      </c>
      <c r="AA152">
        <v>47093.55</v>
      </c>
      <c r="AB152">
        <v>5550</v>
      </c>
      <c r="AC152">
        <v>95</v>
      </c>
      <c r="AD152">
        <v>3.7</v>
      </c>
      <c r="AE152">
        <f t="shared" si="20"/>
        <v>0</v>
      </c>
    </row>
    <row r="153" spans="1:31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P153">
        <f t="shared" si="14"/>
        <v>0</v>
      </c>
      <c r="Q153">
        <f t="shared" si="15"/>
        <v>0</v>
      </c>
      <c r="R153">
        <f t="shared" si="16"/>
        <v>1</v>
      </c>
      <c r="T153">
        <f t="shared" si="17"/>
        <v>0</v>
      </c>
      <c r="U153">
        <f t="shared" si="18"/>
        <v>0</v>
      </c>
      <c r="V153">
        <f t="shared" si="19"/>
        <v>0</v>
      </c>
      <c r="AA153">
        <v>71855.09</v>
      </c>
      <c r="AB153">
        <v>5911</v>
      </c>
      <c r="AC153">
        <v>94.3</v>
      </c>
      <c r="AD153">
        <v>4.0999999999999996</v>
      </c>
      <c r="AE153">
        <f t="shared" si="20"/>
        <v>0</v>
      </c>
    </row>
    <row r="154" spans="1:31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P154">
        <f t="shared" si="14"/>
        <v>1</v>
      </c>
      <c r="Q154">
        <f t="shared" si="15"/>
        <v>0</v>
      </c>
      <c r="R154">
        <f t="shared" si="16"/>
        <v>0</v>
      </c>
      <c r="T154">
        <f t="shared" si="17"/>
        <v>0</v>
      </c>
      <c r="U154">
        <f t="shared" si="18"/>
        <v>1</v>
      </c>
      <c r="V154">
        <f t="shared" si="19"/>
        <v>0</v>
      </c>
      <c r="AA154">
        <v>75645.23</v>
      </c>
      <c r="AB154">
        <v>9674</v>
      </c>
      <c r="AC154">
        <v>87.4</v>
      </c>
      <c r="AD154">
        <v>4.5</v>
      </c>
      <c r="AE154">
        <f t="shared" si="20"/>
        <v>0</v>
      </c>
    </row>
    <row r="155" spans="1:31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P155">
        <f t="shared" si="14"/>
        <v>1</v>
      </c>
      <c r="Q155">
        <f t="shared" si="15"/>
        <v>0</v>
      </c>
      <c r="R155">
        <f t="shared" si="16"/>
        <v>0</v>
      </c>
      <c r="T155">
        <f t="shared" si="17"/>
        <v>0</v>
      </c>
      <c r="U155">
        <f t="shared" si="18"/>
        <v>1</v>
      </c>
      <c r="V155">
        <f t="shared" si="19"/>
        <v>0</v>
      </c>
      <c r="AA155">
        <v>64374.75</v>
      </c>
      <c r="AB155">
        <v>6740</v>
      </c>
      <c r="AC155">
        <v>87</v>
      </c>
      <c r="AD155">
        <v>4.2</v>
      </c>
      <c r="AE155">
        <f t="shared" si="20"/>
        <v>0</v>
      </c>
    </row>
    <row r="156" spans="1:31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P156">
        <f t="shared" si="14"/>
        <v>1</v>
      </c>
      <c r="Q156">
        <f t="shared" si="15"/>
        <v>0</v>
      </c>
      <c r="R156">
        <f t="shared" si="16"/>
        <v>0</v>
      </c>
      <c r="T156">
        <f t="shared" si="17"/>
        <v>0</v>
      </c>
      <c r="U156">
        <f t="shared" si="18"/>
        <v>1</v>
      </c>
      <c r="V156">
        <f t="shared" si="19"/>
        <v>0</v>
      </c>
      <c r="AA156">
        <v>61433.84</v>
      </c>
      <c r="AB156">
        <v>7745</v>
      </c>
      <c r="AC156">
        <v>90.5</v>
      </c>
      <c r="AD156">
        <v>4.2</v>
      </c>
      <c r="AE156">
        <f t="shared" si="20"/>
        <v>0</v>
      </c>
    </row>
    <row r="157" spans="1:31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P157">
        <f t="shared" si="14"/>
        <v>1</v>
      </c>
      <c r="Q157">
        <f t="shared" si="15"/>
        <v>0</v>
      </c>
      <c r="R157">
        <f t="shared" si="16"/>
        <v>0</v>
      </c>
      <c r="T157">
        <f t="shared" si="17"/>
        <v>0</v>
      </c>
      <c r="U157">
        <f t="shared" si="18"/>
        <v>1</v>
      </c>
      <c r="V157">
        <f t="shared" si="19"/>
        <v>0</v>
      </c>
      <c r="AA157">
        <v>42698.14</v>
      </c>
      <c r="AB157">
        <v>7693</v>
      </c>
      <c r="AC157">
        <v>90.1</v>
      </c>
      <c r="AD157">
        <v>4.4000000000000004</v>
      </c>
      <c r="AE157">
        <f t="shared" si="20"/>
        <v>0</v>
      </c>
    </row>
    <row r="158" spans="1:31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P158">
        <f t="shared" si="14"/>
        <v>0</v>
      </c>
      <c r="Q158">
        <f t="shared" si="15"/>
        <v>1</v>
      </c>
      <c r="R158">
        <f t="shared" si="16"/>
        <v>0</v>
      </c>
      <c r="T158">
        <f t="shared" si="17"/>
        <v>0</v>
      </c>
      <c r="U158">
        <f t="shared" si="18"/>
        <v>0</v>
      </c>
      <c r="V158">
        <f t="shared" si="19"/>
        <v>0</v>
      </c>
      <c r="AA158">
        <v>86883.31</v>
      </c>
      <c r="AB158">
        <v>6424</v>
      </c>
      <c r="AC158">
        <v>85.2</v>
      </c>
      <c r="AD158">
        <v>3.9</v>
      </c>
      <c r="AE158">
        <f t="shared" si="20"/>
        <v>0</v>
      </c>
    </row>
    <row r="159" spans="1:31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P159">
        <f t="shared" si="14"/>
        <v>0</v>
      </c>
      <c r="Q159">
        <f t="shared" si="15"/>
        <v>1</v>
      </c>
      <c r="R159">
        <f t="shared" si="16"/>
        <v>0</v>
      </c>
      <c r="T159">
        <f t="shared" si="17"/>
        <v>0</v>
      </c>
      <c r="U159">
        <f t="shared" si="18"/>
        <v>0</v>
      </c>
      <c r="V159">
        <f t="shared" si="19"/>
        <v>0</v>
      </c>
      <c r="AA159">
        <v>41863.08</v>
      </c>
      <c r="AB159">
        <v>5400</v>
      </c>
      <c r="AC159">
        <v>91.6</v>
      </c>
      <c r="AD159">
        <v>3</v>
      </c>
      <c r="AE159">
        <f t="shared" si="20"/>
        <v>0</v>
      </c>
    </row>
    <row r="160" spans="1:31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P160">
        <f t="shared" si="14"/>
        <v>0</v>
      </c>
      <c r="Q160">
        <f t="shared" si="15"/>
        <v>1</v>
      </c>
      <c r="R160">
        <f t="shared" si="16"/>
        <v>0</v>
      </c>
      <c r="T160">
        <f t="shared" si="17"/>
        <v>0</v>
      </c>
      <c r="U160">
        <f t="shared" si="18"/>
        <v>0</v>
      </c>
      <c r="V160">
        <f t="shared" si="19"/>
        <v>0</v>
      </c>
      <c r="AA160">
        <v>56918.16</v>
      </c>
      <c r="AB160">
        <v>7015</v>
      </c>
      <c r="AC160">
        <v>74.2</v>
      </c>
      <c r="AD160">
        <v>3.4</v>
      </c>
      <c r="AE160">
        <f t="shared" si="20"/>
        <v>0</v>
      </c>
    </row>
    <row r="161" spans="1:31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P161">
        <f t="shared" si="14"/>
        <v>0</v>
      </c>
      <c r="Q161">
        <f t="shared" si="15"/>
        <v>1</v>
      </c>
      <c r="R161">
        <f t="shared" si="16"/>
        <v>0</v>
      </c>
      <c r="T161">
        <f t="shared" si="17"/>
        <v>0</v>
      </c>
      <c r="U161">
        <f t="shared" si="18"/>
        <v>0</v>
      </c>
      <c r="V161">
        <f t="shared" si="19"/>
        <v>0</v>
      </c>
      <c r="AA161">
        <v>23254.57</v>
      </c>
      <c r="AB161">
        <v>3847</v>
      </c>
      <c r="AC161">
        <v>93</v>
      </c>
      <c r="AD161">
        <v>3.3</v>
      </c>
      <c r="AE161">
        <f t="shared" si="20"/>
        <v>0</v>
      </c>
    </row>
    <row r="162" spans="1:31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P162">
        <f t="shared" si="14"/>
        <v>0</v>
      </c>
      <c r="Q162">
        <f t="shared" si="15"/>
        <v>0</v>
      </c>
      <c r="R162">
        <f t="shared" si="16"/>
        <v>1</v>
      </c>
      <c r="T162">
        <f t="shared" si="17"/>
        <v>0</v>
      </c>
      <c r="U162">
        <f t="shared" si="18"/>
        <v>1</v>
      </c>
      <c r="V162">
        <f t="shared" si="19"/>
        <v>0</v>
      </c>
      <c r="AA162">
        <v>41443.410000000003</v>
      </c>
      <c r="AB162">
        <v>7455</v>
      </c>
      <c r="AC162">
        <v>90.1</v>
      </c>
      <c r="AD162">
        <v>4</v>
      </c>
      <c r="AE162">
        <f t="shared" si="20"/>
        <v>0</v>
      </c>
    </row>
    <row r="163" spans="1:31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P163">
        <f t="shared" si="14"/>
        <v>0</v>
      </c>
      <c r="Q163">
        <f t="shared" si="15"/>
        <v>0</v>
      </c>
      <c r="R163">
        <f t="shared" si="16"/>
        <v>1</v>
      </c>
      <c r="T163">
        <f t="shared" si="17"/>
        <v>0</v>
      </c>
      <c r="U163">
        <f t="shared" si="18"/>
        <v>1</v>
      </c>
      <c r="V163">
        <f t="shared" si="19"/>
        <v>0</v>
      </c>
      <c r="AA163">
        <v>48438.85</v>
      </c>
      <c r="AB163">
        <v>6992</v>
      </c>
      <c r="AC163">
        <v>91</v>
      </c>
      <c r="AD163">
        <v>4.2</v>
      </c>
      <c r="AE163">
        <f t="shared" si="20"/>
        <v>0</v>
      </c>
    </row>
    <row r="164" spans="1:31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4.5990000000000002</v>
      </c>
      <c r="K164">
        <v>0</v>
      </c>
      <c r="L164">
        <v>4.2</v>
      </c>
      <c r="M164">
        <v>677096.71</v>
      </c>
      <c r="N164">
        <v>97174.11</v>
      </c>
      <c r="P164">
        <f t="shared" si="14"/>
        <v>0</v>
      </c>
      <c r="Q164">
        <f t="shared" si="15"/>
        <v>0</v>
      </c>
      <c r="R164">
        <f t="shared" si="16"/>
        <v>1</v>
      </c>
      <c r="T164">
        <f t="shared" si="17"/>
        <v>0</v>
      </c>
      <c r="U164">
        <f t="shared" si="18"/>
        <v>1</v>
      </c>
      <c r="V164">
        <f t="shared" si="19"/>
        <v>0</v>
      </c>
      <c r="AA164">
        <v>57143.3</v>
      </c>
      <c r="AB164">
        <v>8038</v>
      </c>
      <c r="AC164">
        <v>72.599999999999994</v>
      </c>
      <c r="AD164">
        <v>4.2</v>
      </c>
      <c r="AE164">
        <f t="shared" si="20"/>
        <v>0</v>
      </c>
    </row>
    <row r="165" spans="1:31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P165">
        <f t="shared" si="14"/>
        <v>0</v>
      </c>
      <c r="Q165">
        <f t="shared" si="15"/>
        <v>0</v>
      </c>
      <c r="R165">
        <f t="shared" si="16"/>
        <v>1</v>
      </c>
      <c r="T165">
        <f t="shared" si="17"/>
        <v>0</v>
      </c>
      <c r="U165">
        <f t="shared" si="18"/>
        <v>1</v>
      </c>
      <c r="V165">
        <f t="shared" si="19"/>
        <v>0</v>
      </c>
      <c r="AA165">
        <v>66870.62</v>
      </c>
      <c r="AB165">
        <v>6055</v>
      </c>
      <c r="AC165">
        <v>93.8</v>
      </c>
      <c r="AD165">
        <v>4.3</v>
      </c>
      <c r="AE165">
        <f t="shared" si="20"/>
        <v>0</v>
      </c>
    </row>
    <row r="166" spans="1:31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P166">
        <f t="shared" si="14"/>
        <v>0</v>
      </c>
      <c r="Q166">
        <f t="shared" si="15"/>
        <v>1</v>
      </c>
      <c r="R166">
        <f t="shared" si="16"/>
        <v>0</v>
      </c>
      <c r="T166">
        <f t="shared" si="17"/>
        <v>0</v>
      </c>
      <c r="U166">
        <f t="shared" si="18"/>
        <v>0</v>
      </c>
      <c r="V166">
        <f t="shared" si="19"/>
        <v>0</v>
      </c>
      <c r="AA166">
        <v>72150.53</v>
      </c>
      <c r="AB166">
        <v>9323</v>
      </c>
      <c r="AC166">
        <v>82.9</v>
      </c>
      <c r="AD166">
        <v>4.3</v>
      </c>
      <c r="AE166">
        <f t="shared" si="20"/>
        <v>0</v>
      </c>
    </row>
    <row r="167" spans="1:31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P167">
        <f t="shared" si="14"/>
        <v>0</v>
      </c>
      <c r="Q167">
        <f t="shared" si="15"/>
        <v>1</v>
      </c>
      <c r="R167">
        <f t="shared" si="16"/>
        <v>0</v>
      </c>
      <c r="T167">
        <f t="shared" si="17"/>
        <v>0</v>
      </c>
      <c r="U167">
        <f t="shared" si="18"/>
        <v>0</v>
      </c>
      <c r="V167">
        <f t="shared" si="19"/>
        <v>0</v>
      </c>
      <c r="AA167">
        <v>35303.300000000003</v>
      </c>
      <c r="AB167">
        <v>8789</v>
      </c>
      <c r="AC167">
        <v>86.1</v>
      </c>
      <c r="AD167">
        <v>4.2</v>
      </c>
      <c r="AE167">
        <f t="shared" si="20"/>
        <v>0</v>
      </c>
    </row>
    <row r="168" spans="1:31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P168">
        <f t="shared" si="14"/>
        <v>0</v>
      </c>
      <c r="Q168">
        <f t="shared" si="15"/>
        <v>1</v>
      </c>
      <c r="R168">
        <f t="shared" si="16"/>
        <v>0</v>
      </c>
      <c r="T168">
        <f t="shared" si="17"/>
        <v>0</v>
      </c>
      <c r="U168">
        <f t="shared" si="18"/>
        <v>0</v>
      </c>
      <c r="V168">
        <f t="shared" si="19"/>
        <v>0</v>
      </c>
      <c r="AA168">
        <v>30301.86</v>
      </c>
      <c r="AB168">
        <v>6939</v>
      </c>
      <c r="AC168">
        <v>90.3</v>
      </c>
      <c r="AD168">
        <v>4</v>
      </c>
      <c r="AE168">
        <f t="shared" si="20"/>
        <v>0</v>
      </c>
    </row>
    <row r="169" spans="1:31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P169">
        <f t="shared" si="14"/>
        <v>0</v>
      </c>
      <c r="Q169">
        <f t="shared" si="15"/>
        <v>1</v>
      </c>
      <c r="R169">
        <f t="shared" si="16"/>
        <v>0</v>
      </c>
      <c r="T169">
        <f t="shared" si="17"/>
        <v>0</v>
      </c>
      <c r="U169">
        <f t="shared" si="18"/>
        <v>0</v>
      </c>
      <c r="V169">
        <f t="shared" si="19"/>
        <v>0</v>
      </c>
      <c r="AA169">
        <v>78432.14</v>
      </c>
      <c r="AB169">
        <v>9440</v>
      </c>
      <c r="AC169">
        <v>89.2</v>
      </c>
      <c r="AD169">
        <v>4.0999999999999996</v>
      </c>
      <c r="AE169">
        <f t="shared" si="20"/>
        <v>0</v>
      </c>
    </row>
    <row r="170" spans="1:31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P170">
        <f t="shared" si="14"/>
        <v>1</v>
      </c>
      <c r="Q170">
        <f t="shared" si="15"/>
        <v>0</v>
      </c>
      <c r="R170">
        <f t="shared" si="16"/>
        <v>0</v>
      </c>
      <c r="T170">
        <f t="shared" si="17"/>
        <v>1</v>
      </c>
      <c r="U170">
        <f t="shared" si="18"/>
        <v>0</v>
      </c>
      <c r="V170">
        <f t="shared" si="19"/>
        <v>0</v>
      </c>
      <c r="AA170">
        <v>62059.18</v>
      </c>
      <c r="AB170">
        <v>9374</v>
      </c>
      <c r="AC170">
        <v>87.1</v>
      </c>
      <c r="AD170">
        <v>4.9000000000000004</v>
      </c>
      <c r="AE170">
        <f t="shared" si="20"/>
        <v>0</v>
      </c>
    </row>
    <row r="171" spans="1:31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P171">
        <f t="shared" si="14"/>
        <v>1</v>
      </c>
      <c r="Q171">
        <f t="shared" si="15"/>
        <v>0</v>
      </c>
      <c r="R171">
        <f t="shared" si="16"/>
        <v>0</v>
      </c>
      <c r="T171">
        <f t="shared" si="17"/>
        <v>1</v>
      </c>
      <c r="U171">
        <f t="shared" si="18"/>
        <v>0</v>
      </c>
      <c r="V171">
        <f t="shared" si="19"/>
        <v>0</v>
      </c>
      <c r="AA171">
        <v>32834.480000000003</v>
      </c>
      <c r="AB171">
        <v>7576</v>
      </c>
      <c r="AC171">
        <v>84.1</v>
      </c>
      <c r="AD171">
        <v>5</v>
      </c>
      <c r="AE171">
        <f t="shared" si="20"/>
        <v>0</v>
      </c>
    </row>
    <row r="172" spans="1:31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P172">
        <f t="shared" si="14"/>
        <v>1</v>
      </c>
      <c r="Q172">
        <f t="shared" si="15"/>
        <v>0</v>
      </c>
      <c r="R172">
        <f t="shared" si="16"/>
        <v>0</v>
      </c>
      <c r="T172">
        <f t="shared" si="17"/>
        <v>1</v>
      </c>
      <c r="U172">
        <f t="shared" si="18"/>
        <v>0</v>
      </c>
      <c r="V172">
        <f t="shared" si="19"/>
        <v>0</v>
      </c>
      <c r="AA172">
        <v>50825.08</v>
      </c>
      <c r="AB172">
        <v>8949</v>
      </c>
      <c r="AC172">
        <v>84.7</v>
      </c>
      <c r="AD172">
        <v>4.9000000000000004</v>
      </c>
      <c r="AE172">
        <f t="shared" si="20"/>
        <v>0</v>
      </c>
    </row>
    <row r="173" spans="1:31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P173">
        <f t="shared" si="14"/>
        <v>1</v>
      </c>
      <c r="Q173">
        <f t="shared" si="15"/>
        <v>0</v>
      </c>
      <c r="R173">
        <f t="shared" si="16"/>
        <v>0</v>
      </c>
      <c r="T173">
        <f t="shared" si="17"/>
        <v>1</v>
      </c>
      <c r="U173">
        <f t="shared" si="18"/>
        <v>0</v>
      </c>
      <c r="V173">
        <f t="shared" si="19"/>
        <v>0</v>
      </c>
      <c r="AA173">
        <v>36606.51</v>
      </c>
      <c r="AB173">
        <v>7671</v>
      </c>
      <c r="AC173">
        <v>89.8</v>
      </c>
      <c r="AD173">
        <v>4.4000000000000004</v>
      </c>
      <c r="AE173">
        <f t="shared" si="20"/>
        <v>0</v>
      </c>
    </row>
    <row r="174" spans="1:31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P174">
        <f t="shared" si="14"/>
        <v>1</v>
      </c>
      <c r="Q174">
        <f t="shared" si="15"/>
        <v>0</v>
      </c>
      <c r="R174">
        <f t="shared" si="16"/>
        <v>0</v>
      </c>
      <c r="T174">
        <f t="shared" si="17"/>
        <v>1</v>
      </c>
      <c r="U174">
        <f t="shared" si="18"/>
        <v>0</v>
      </c>
      <c r="V174">
        <f t="shared" si="19"/>
        <v>0</v>
      </c>
      <c r="AA174">
        <v>65237.79</v>
      </c>
      <c r="AB174">
        <v>8741</v>
      </c>
      <c r="AC174">
        <v>94.4</v>
      </c>
      <c r="AD174">
        <v>3.3</v>
      </c>
      <c r="AE174">
        <f t="shared" si="20"/>
        <v>0</v>
      </c>
    </row>
    <row r="175" spans="1:31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P175">
        <f t="shared" si="14"/>
        <v>1</v>
      </c>
      <c r="Q175">
        <f t="shared" si="15"/>
        <v>0</v>
      </c>
      <c r="R175">
        <f t="shared" si="16"/>
        <v>0</v>
      </c>
      <c r="T175">
        <f t="shared" si="17"/>
        <v>1</v>
      </c>
      <c r="U175">
        <f t="shared" si="18"/>
        <v>0</v>
      </c>
      <c r="V175">
        <f t="shared" si="19"/>
        <v>0</v>
      </c>
      <c r="AA175">
        <v>43645.98</v>
      </c>
      <c r="AB175">
        <v>9480</v>
      </c>
      <c r="AC175">
        <v>89</v>
      </c>
      <c r="AD175">
        <v>3.1</v>
      </c>
      <c r="AE175">
        <f t="shared" si="20"/>
        <v>0</v>
      </c>
    </row>
    <row r="176" spans="1:31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P176">
        <f t="shared" si="14"/>
        <v>1</v>
      </c>
      <c r="Q176">
        <f t="shared" si="15"/>
        <v>0</v>
      </c>
      <c r="R176">
        <f t="shared" si="16"/>
        <v>0</v>
      </c>
      <c r="T176">
        <f t="shared" si="17"/>
        <v>1</v>
      </c>
      <c r="U176">
        <f t="shared" si="18"/>
        <v>0</v>
      </c>
      <c r="V176">
        <f t="shared" si="19"/>
        <v>0</v>
      </c>
      <c r="AA176">
        <v>68040.149999999994</v>
      </c>
      <c r="AB176">
        <v>9826</v>
      </c>
      <c r="AC176">
        <v>83.9</v>
      </c>
      <c r="AD176">
        <v>3.6</v>
      </c>
      <c r="AE176">
        <f t="shared" si="20"/>
        <v>0</v>
      </c>
    </row>
    <row r="177" spans="1:31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P177">
        <f t="shared" si="14"/>
        <v>1</v>
      </c>
      <c r="Q177">
        <f t="shared" si="15"/>
        <v>0</v>
      </c>
      <c r="R177">
        <f t="shared" si="16"/>
        <v>0</v>
      </c>
      <c r="T177">
        <f t="shared" si="17"/>
        <v>1</v>
      </c>
      <c r="U177">
        <f t="shared" si="18"/>
        <v>0</v>
      </c>
      <c r="V177">
        <f t="shared" si="19"/>
        <v>0</v>
      </c>
      <c r="AA177">
        <v>63043.94</v>
      </c>
      <c r="AB177">
        <v>10402</v>
      </c>
      <c r="AC177">
        <v>93.9</v>
      </c>
      <c r="AD177">
        <v>3.1</v>
      </c>
      <c r="AE177">
        <f t="shared" si="20"/>
        <v>0</v>
      </c>
    </row>
    <row r="178" spans="1:31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P178">
        <f t="shared" si="14"/>
        <v>0</v>
      </c>
      <c r="Q178">
        <f t="shared" si="15"/>
        <v>0</v>
      </c>
      <c r="R178">
        <f t="shared" si="16"/>
        <v>0</v>
      </c>
      <c r="T178">
        <f t="shared" si="17"/>
        <v>0</v>
      </c>
      <c r="U178">
        <f t="shared" si="18"/>
        <v>0</v>
      </c>
      <c r="V178">
        <f t="shared" si="19"/>
        <v>1</v>
      </c>
      <c r="AA178">
        <v>67494.09</v>
      </c>
      <c r="AB178">
        <v>12361</v>
      </c>
      <c r="AC178">
        <v>76.599999999999994</v>
      </c>
      <c r="AD178">
        <v>3.7</v>
      </c>
      <c r="AE178">
        <f t="shared" si="20"/>
        <v>0</v>
      </c>
    </row>
    <row r="179" spans="1:31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P179">
        <f t="shared" si="14"/>
        <v>0</v>
      </c>
      <c r="Q179">
        <f t="shared" si="15"/>
        <v>0</v>
      </c>
      <c r="R179">
        <f t="shared" si="16"/>
        <v>0</v>
      </c>
      <c r="T179">
        <f t="shared" si="17"/>
        <v>0</v>
      </c>
      <c r="U179">
        <f t="shared" si="18"/>
        <v>0</v>
      </c>
      <c r="V179">
        <f t="shared" si="19"/>
        <v>1</v>
      </c>
      <c r="AA179">
        <v>29389.32</v>
      </c>
      <c r="AB179">
        <v>7925</v>
      </c>
      <c r="AC179">
        <v>90.9</v>
      </c>
      <c r="AD179">
        <v>4</v>
      </c>
      <c r="AE179">
        <f t="shared" si="20"/>
        <v>0</v>
      </c>
    </row>
    <row r="180" spans="1:31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P180">
        <f t="shared" si="14"/>
        <v>0</v>
      </c>
      <c r="Q180">
        <f t="shared" si="15"/>
        <v>0</v>
      </c>
      <c r="R180">
        <f t="shared" si="16"/>
        <v>0</v>
      </c>
      <c r="T180">
        <f t="shared" si="17"/>
        <v>0</v>
      </c>
      <c r="U180">
        <f t="shared" si="18"/>
        <v>0</v>
      </c>
      <c r="V180">
        <f t="shared" si="19"/>
        <v>1</v>
      </c>
      <c r="AA180">
        <v>40535.089999999997</v>
      </c>
      <c r="AB180">
        <v>8870</v>
      </c>
      <c r="AC180">
        <v>86.6</v>
      </c>
      <c r="AD180">
        <v>4.0999999999999996</v>
      </c>
      <c r="AE180">
        <f t="shared" si="20"/>
        <v>0</v>
      </c>
    </row>
    <row r="181" spans="1:31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P181">
        <f t="shared" si="14"/>
        <v>0</v>
      </c>
      <c r="Q181">
        <f t="shared" si="15"/>
        <v>0</v>
      </c>
      <c r="R181">
        <f t="shared" si="16"/>
        <v>0</v>
      </c>
      <c r="T181">
        <f t="shared" si="17"/>
        <v>0</v>
      </c>
      <c r="U181">
        <f t="shared" si="18"/>
        <v>0</v>
      </c>
      <c r="V181">
        <f t="shared" si="19"/>
        <v>1</v>
      </c>
      <c r="AA181">
        <v>74881.56</v>
      </c>
      <c r="AB181">
        <v>9999</v>
      </c>
      <c r="AC181">
        <v>89.6</v>
      </c>
      <c r="AD181">
        <v>4.0999999999999996</v>
      </c>
      <c r="AE181">
        <f t="shared" si="20"/>
        <v>0</v>
      </c>
    </row>
    <row r="182" spans="1:31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P182">
        <f t="shared" si="14"/>
        <v>0</v>
      </c>
      <c r="Q182">
        <f t="shared" si="15"/>
        <v>0</v>
      </c>
      <c r="R182">
        <f t="shared" si="16"/>
        <v>0</v>
      </c>
      <c r="T182">
        <f t="shared" si="17"/>
        <v>1</v>
      </c>
      <c r="U182">
        <f t="shared" si="18"/>
        <v>0</v>
      </c>
      <c r="V182">
        <f t="shared" si="19"/>
        <v>0</v>
      </c>
      <c r="AA182">
        <v>68491.11</v>
      </c>
      <c r="AB182">
        <v>11154</v>
      </c>
      <c r="AC182">
        <v>89.4</v>
      </c>
      <c r="AD182">
        <v>3.9</v>
      </c>
      <c r="AE182">
        <f t="shared" si="20"/>
        <v>0</v>
      </c>
    </row>
    <row r="183" spans="1:31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P183">
        <f t="shared" si="14"/>
        <v>0</v>
      </c>
      <c r="Q183">
        <f t="shared" si="15"/>
        <v>0</v>
      </c>
      <c r="R183">
        <f t="shared" si="16"/>
        <v>0</v>
      </c>
      <c r="T183">
        <f t="shared" si="17"/>
        <v>1</v>
      </c>
      <c r="U183">
        <f t="shared" si="18"/>
        <v>0</v>
      </c>
      <c r="V183">
        <f t="shared" si="19"/>
        <v>0</v>
      </c>
      <c r="AA183">
        <v>45209.25</v>
      </c>
      <c r="AB183">
        <v>9287</v>
      </c>
      <c r="AC183">
        <v>86.4</v>
      </c>
      <c r="AD183">
        <v>3.6</v>
      </c>
      <c r="AE183">
        <f t="shared" si="20"/>
        <v>0</v>
      </c>
    </row>
    <row r="184" spans="1:31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P184">
        <f t="shared" si="14"/>
        <v>0</v>
      </c>
      <c r="Q184">
        <f t="shared" si="15"/>
        <v>0</v>
      </c>
      <c r="R184">
        <f t="shared" si="16"/>
        <v>0</v>
      </c>
      <c r="T184">
        <f t="shared" si="17"/>
        <v>1</v>
      </c>
      <c r="U184">
        <f t="shared" si="18"/>
        <v>0</v>
      </c>
      <c r="V184">
        <f t="shared" si="19"/>
        <v>0</v>
      </c>
      <c r="AA184">
        <v>63010.23</v>
      </c>
      <c r="AB184">
        <v>9812</v>
      </c>
      <c r="AC184">
        <v>76.8</v>
      </c>
      <c r="AD184">
        <v>3.8</v>
      </c>
      <c r="AE184">
        <f t="shared" si="20"/>
        <v>0</v>
      </c>
    </row>
    <row r="185" spans="1:31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P185">
        <f t="shared" si="14"/>
        <v>0</v>
      </c>
      <c r="Q185">
        <f t="shared" si="15"/>
        <v>0</v>
      </c>
      <c r="R185">
        <f t="shared" si="16"/>
        <v>0</v>
      </c>
      <c r="T185">
        <f t="shared" si="17"/>
        <v>1</v>
      </c>
      <c r="U185">
        <f t="shared" si="18"/>
        <v>0</v>
      </c>
      <c r="V185">
        <f t="shared" si="19"/>
        <v>0</v>
      </c>
      <c r="AA185">
        <v>57948.88</v>
      </c>
      <c r="AB185">
        <v>10741</v>
      </c>
      <c r="AC185">
        <v>90.1</v>
      </c>
      <c r="AD185">
        <v>3.1</v>
      </c>
      <c r="AE185">
        <f t="shared" si="20"/>
        <v>0</v>
      </c>
    </row>
    <row r="186" spans="1:31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P186">
        <f t="shared" si="14"/>
        <v>0</v>
      </c>
      <c r="Q186">
        <f t="shared" si="15"/>
        <v>1</v>
      </c>
      <c r="R186">
        <f t="shared" si="16"/>
        <v>0</v>
      </c>
      <c r="T186">
        <f t="shared" si="17"/>
        <v>0</v>
      </c>
      <c r="U186">
        <f t="shared" si="18"/>
        <v>1</v>
      </c>
      <c r="V186">
        <f t="shared" si="19"/>
        <v>0</v>
      </c>
      <c r="AA186">
        <v>71941.62</v>
      </c>
      <c r="AB186">
        <v>6084</v>
      </c>
      <c r="AC186">
        <v>93.7</v>
      </c>
      <c r="AD186">
        <v>4.4000000000000004</v>
      </c>
      <c r="AE186">
        <f t="shared" si="20"/>
        <v>0</v>
      </c>
    </row>
    <row r="187" spans="1:31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P187">
        <f t="shared" si="14"/>
        <v>0</v>
      </c>
      <c r="Q187">
        <f t="shared" si="15"/>
        <v>1</v>
      </c>
      <c r="R187">
        <f t="shared" si="16"/>
        <v>0</v>
      </c>
      <c r="T187">
        <f t="shared" si="17"/>
        <v>0</v>
      </c>
      <c r="U187">
        <f t="shared" si="18"/>
        <v>1</v>
      </c>
      <c r="V187">
        <f t="shared" si="19"/>
        <v>0</v>
      </c>
      <c r="AA187">
        <v>57147.88</v>
      </c>
      <c r="AB187">
        <v>5252</v>
      </c>
      <c r="AC187">
        <v>95.5</v>
      </c>
      <c r="AD187">
        <v>4.4000000000000004</v>
      </c>
      <c r="AE187">
        <f t="shared" si="20"/>
        <v>0</v>
      </c>
    </row>
    <row r="188" spans="1:31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P188">
        <f t="shared" si="14"/>
        <v>0</v>
      </c>
      <c r="Q188">
        <f t="shared" si="15"/>
        <v>1</v>
      </c>
      <c r="R188">
        <f t="shared" si="16"/>
        <v>0</v>
      </c>
      <c r="T188">
        <f t="shared" si="17"/>
        <v>0</v>
      </c>
      <c r="U188">
        <f t="shared" si="18"/>
        <v>1</v>
      </c>
      <c r="V188">
        <f t="shared" si="19"/>
        <v>0</v>
      </c>
      <c r="AA188">
        <v>48031.74</v>
      </c>
      <c r="AB188">
        <v>6516</v>
      </c>
      <c r="AC188">
        <v>99</v>
      </c>
      <c r="AD188">
        <v>4.3</v>
      </c>
      <c r="AE188">
        <f t="shared" si="20"/>
        <v>0</v>
      </c>
    </row>
    <row r="189" spans="1:31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P189">
        <f t="shared" si="14"/>
        <v>0</v>
      </c>
      <c r="Q189">
        <f t="shared" si="15"/>
        <v>1</v>
      </c>
      <c r="R189">
        <f t="shared" si="16"/>
        <v>0</v>
      </c>
      <c r="T189">
        <f t="shared" si="17"/>
        <v>0</v>
      </c>
      <c r="U189">
        <f t="shared" si="18"/>
        <v>1</v>
      </c>
      <c r="V189">
        <f t="shared" si="19"/>
        <v>0</v>
      </c>
      <c r="AA189">
        <v>72784.800000000003</v>
      </c>
      <c r="AB189">
        <v>7932</v>
      </c>
      <c r="AC189">
        <v>74.900000000000006</v>
      </c>
      <c r="AD189">
        <v>4.2</v>
      </c>
      <c r="AE189">
        <f t="shared" si="20"/>
        <v>0</v>
      </c>
    </row>
    <row r="190" spans="1:31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P190">
        <f t="shared" si="14"/>
        <v>1</v>
      </c>
      <c r="Q190">
        <f t="shared" si="15"/>
        <v>0</v>
      </c>
      <c r="R190">
        <f t="shared" si="16"/>
        <v>0</v>
      </c>
      <c r="T190">
        <f t="shared" si="17"/>
        <v>0</v>
      </c>
      <c r="U190">
        <f t="shared" si="18"/>
        <v>1</v>
      </c>
      <c r="V190">
        <f t="shared" si="19"/>
        <v>0</v>
      </c>
      <c r="AA190">
        <v>71641.899999999994</v>
      </c>
      <c r="AB190">
        <v>3506</v>
      </c>
      <c r="AC190">
        <v>86.4</v>
      </c>
      <c r="AD190">
        <v>4.0999999999999996</v>
      </c>
      <c r="AE190">
        <f t="shared" si="20"/>
        <v>0</v>
      </c>
    </row>
    <row r="191" spans="1:31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P191">
        <f t="shared" si="14"/>
        <v>1</v>
      </c>
      <c r="Q191">
        <f t="shared" si="15"/>
        <v>0</v>
      </c>
      <c r="R191">
        <f t="shared" si="16"/>
        <v>0</v>
      </c>
      <c r="T191">
        <f t="shared" si="17"/>
        <v>0</v>
      </c>
      <c r="U191">
        <f t="shared" si="18"/>
        <v>1</v>
      </c>
      <c r="V191">
        <f t="shared" si="19"/>
        <v>0</v>
      </c>
      <c r="AA191">
        <v>55788.61</v>
      </c>
      <c r="AB191">
        <v>2312</v>
      </c>
      <c r="AC191">
        <v>91.3</v>
      </c>
      <c r="AD191">
        <v>3.8</v>
      </c>
      <c r="AE191">
        <f t="shared" si="20"/>
        <v>0</v>
      </c>
    </row>
    <row r="192" spans="1:31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P192">
        <f t="shared" si="14"/>
        <v>1</v>
      </c>
      <c r="Q192">
        <f t="shared" si="15"/>
        <v>0</v>
      </c>
      <c r="R192">
        <f t="shared" si="16"/>
        <v>0</v>
      </c>
      <c r="T192">
        <f t="shared" si="17"/>
        <v>0</v>
      </c>
      <c r="U192">
        <f t="shared" si="18"/>
        <v>1</v>
      </c>
      <c r="V192">
        <f t="shared" si="19"/>
        <v>0</v>
      </c>
      <c r="AA192">
        <v>37705.879999999997</v>
      </c>
      <c r="AB192">
        <v>1268</v>
      </c>
      <c r="AC192">
        <v>84.1</v>
      </c>
      <c r="AD192">
        <v>3.8</v>
      </c>
      <c r="AE192">
        <f t="shared" si="20"/>
        <v>0</v>
      </c>
    </row>
    <row r="193" spans="1:31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P193">
        <f t="shared" si="14"/>
        <v>1</v>
      </c>
      <c r="Q193">
        <f t="shared" si="15"/>
        <v>0</v>
      </c>
      <c r="R193">
        <f t="shared" si="16"/>
        <v>0</v>
      </c>
      <c r="T193">
        <f t="shared" si="17"/>
        <v>0</v>
      </c>
      <c r="U193">
        <f t="shared" si="18"/>
        <v>1</v>
      </c>
      <c r="V193">
        <f t="shared" si="19"/>
        <v>0</v>
      </c>
      <c r="AA193">
        <v>54966.18</v>
      </c>
      <c r="AB193">
        <v>4423</v>
      </c>
      <c r="AC193">
        <v>88.7</v>
      </c>
      <c r="AD193">
        <v>4.4000000000000004</v>
      </c>
      <c r="AE193">
        <f t="shared" si="20"/>
        <v>0</v>
      </c>
    </row>
    <row r="194" spans="1:31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P194">
        <f t="shared" si="14"/>
        <v>0</v>
      </c>
      <c r="Q194">
        <f t="shared" si="15"/>
        <v>0</v>
      </c>
      <c r="R194">
        <f t="shared" si="16"/>
        <v>0</v>
      </c>
      <c r="T194">
        <f t="shared" si="17"/>
        <v>1</v>
      </c>
      <c r="U194">
        <f t="shared" si="18"/>
        <v>0</v>
      </c>
      <c r="V194">
        <f t="shared" si="19"/>
        <v>0</v>
      </c>
      <c r="AA194">
        <v>81796.740000000005</v>
      </c>
      <c r="AB194">
        <v>6177</v>
      </c>
      <c r="AC194">
        <v>87.9</v>
      </c>
      <c r="AD194">
        <v>3.2</v>
      </c>
      <c r="AE194">
        <f t="shared" si="20"/>
        <v>0</v>
      </c>
    </row>
    <row r="195" spans="1:31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P195">
        <f t="shared" ref="P195:P258" si="21">IF(C195="East",1,0)</f>
        <v>0</v>
      </c>
      <c r="Q195">
        <f t="shared" ref="Q195:Q258" si="22">IF(C195="North",1,0)</f>
        <v>0</v>
      </c>
      <c r="R195">
        <f t="shared" ref="R195:R258" si="23">IF(C195="South",1,0)</f>
        <v>0</v>
      </c>
      <c r="T195">
        <f t="shared" ref="T195:T258" si="24">IF(D195="Residential",1,0)</f>
        <v>1</v>
      </c>
      <c r="U195">
        <f t="shared" ref="U195:U258" si="25">IF(D195="High Street",1,0)</f>
        <v>0</v>
      </c>
      <c r="V195">
        <f t="shared" ref="V195:V258" si="26">IF(D195="Airport",1,0)</f>
        <v>0</v>
      </c>
      <c r="AA195">
        <v>51133.43</v>
      </c>
      <c r="AB195">
        <v>5150</v>
      </c>
      <c r="AC195">
        <v>88.5</v>
      </c>
      <c r="AD195">
        <v>3.2</v>
      </c>
      <c r="AE195">
        <f t="shared" ref="AE195:AE258" si="27">IF(Q195="North",1,0)</f>
        <v>0</v>
      </c>
    </row>
    <row r="196" spans="1:31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P196">
        <f t="shared" si="21"/>
        <v>0</v>
      </c>
      <c r="Q196">
        <f t="shared" si="22"/>
        <v>0</v>
      </c>
      <c r="R196">
        <f t="shared" si="23"/>
        <v>0</v>
      </c>
      <c r="T196">
        <f t="shared" si="24"/>
        <v>1</v>
      </c>
      <c r="U196">
        <f t="shared" si="25"/>
        <v>0</v>
      </c>
      <c r="V196">
        <f t="shared" si="26"/>
        <v>0</v>
      </c>
      <c r="AA196">
        <v>40220.18</v>
      </c>
      <c r="AB196">
        <v>3783</v>
      </c>
      <c r="AC196">
        <v>86.6</v>
      </c>
      <c r="AD196">
        <v>3.7</v>
      </c>
      <c r="AE196">
        <f t="shared" si="27"/>
        <v>0</v>
      </c>
    </row>
    <row r="197" spans="1:31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3.9239999999999999</v>
      </c>
      <c r="M197">
        <v>449465.06</v>
      </c>
      <c r="N197">
        <v>65694.78</v>
      </c>
      <c r="P197">
        <f t="shared" si="21"/>
        <v>0</v>
      </c>
      <c r="Q197">
        <f t="shared" si="22"/>
        <v>0</v>
      </c>
      <c r="R197">
        <f t="shared" si="23"/>
        <v>0</v>
      </c>
      <c r="T197">
        <f t="shared" si="24"/>
        <v>1</v>
      </c>
      <c r="U197">
        <f t="shared" si="25"/>
        <v>0</v>
      </c>
      <c r="V197">
        <f t="shared" si="26"/>
        <v>0</v>
      </c>
      <c r="AA197">
        <v>41657.64</v>
      </c>
      <c r="AB197">
        <v>3135</v>
      </c>
      <c r="AC197">
        <v>85.4</v>
      </c>
      <c r="AD197">
        <v>3.9239999999999999</v>
      </c>
      <c r="AE197">
        <f t="shared" si="27"/>
        <v>0</v>
      </c>
    </row>
    <row r="198" spans="1:31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P198">
        <f t="shared" si="21"/>
        <v>0</v>
      </c>
      <c r="Q198">
        <f t="shared" si="22"/>
        <v>1</v>
      </c>
      <c r="R198">
        <f t="shared" si="23"/>
        <v>0</v>
      </c>
      <c r="T198">
        <f t="shared" si="24"/>
        <v>1</v>
      </c>
      <c r="U198">
        <f t="shared" si="25"/>
        <v>0</v>
      </c>
      <c r="V198">
        <f t="shared" si="26"/>
        <v>0</v>
      </c>
      <c r="AA198">
        <v>71851.45</v>
      </c>
      <c r="AB198">
        <v>4970</v>
      </c>
      <c r="AC198">
        <v>89.6</v>
      </c>
      <c r="AD198">
        <v>4.2</v>
      </c>
      <c r="AE198">
        <f t="shared" si="27"/>
        <v>0</v>
      </c>
    </row>
    <row r="199" spans="1:31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P199">
        <f t="shared" si="21"/>
        <v>0</v>
      </c>
      <c r="Q199">
        <f t="shared" si="22"/>
        <v>1</v>
      </c>
      <c r="R199">
        <f t="shared" si="23"/>
        <v>0</v>
      </c>
      <c r="T199">
        <f t="shared" si="24"/>
        <v>1</v>
      </c>
      <c r="U199">
        <f t="shared" si="25"/>
        <v>0</v>
      </c>
      <c r="V199">
        <f t="shared" si="26"/>
        <v>0</v>
      </c>
      <c r="AA199">
        <v>54002.83</v>
      </c>
      <c r="AB199">
        <v>4366</v>
      </c>
      <c r="AC199">
        <v>90.6</v>
      </c>
      <c r="AD199">
        <v>4.5999999999999996</v>
      </c>
      <c r="AE199">
        <f t="shared" si="27"/>
        <v>0</v>
      </c>
    </row>
    <row r="200" spans="1:31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P200">
        <f t="shared" si="21"/>
        <v>0</v>
      </c>
      <c r="Q200">
        <f t="shared" si="22"/>
        <v>1</v>
      </c>
      <c r="R200">
        <f t="shared" si="23"/>
        <v>0</v>
      </c>
      <c r="T200">
        <f t="shared" si="24"/>
        <v>1</v>
      </c>
      <c r="U200">
        <f t="shared" si="25"/>
        <v>0</v>
      </c>
      <c r="V200">
        <f t="shared" si="26"/>
        <v>0</v>
      </c>
      <c r="AA200">
        <v>54479.33</v>
      </c>
      <c r="AB200">
        <v>5012</v>
      </c>
      <c r="AC200">
        <v>86</v>
      </c>
      <c r="AD200">
        <v>4.3</v>
      </c>
      <c r="AE200">
        <f t="shared" si="27"/>
        <v>0</v>
      </c>
    </row>
    <row r="201" spans="1:31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P201">
        <f t="shared" si="21"/>
        <v>0</v>
      </c>
      <c r="Q201">
        <f t="shared" si="22"/>
        <v>1</v>
      </c>
      <c r="R201">
        <f t="shared" si="23"/>
        <v>0</v>
      </c>
      <c r="T201">
        <f t="shared" si="24"/>
        <v>1</v>
      </c>
      <c r="U201">
        <f t="shared" si="25"/>
        <v>0</v>
      </c>
      <c r="V201">
        <f t="shared" si="26"/>
        <v>0</v>
      </c>
      <c r="AA201">
        <v>61391.8</v>
      </c>
      <c r="AB201">
        <v>5575</v>
      </c>
      <c r="AC201">
        <v>90</v>
      </c>
      <c r="AD201">
        <v>4.8</v>
      </c>
      <c r="AE201">
        <f t="shared" si="27"/>
        <v>0</v>
      </c>
    </row>
    <row r="202" spans="1:31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P202">
        <f t="shared" si="21"/>
        <v>1</v>
      </c>
      <c r="Q202">
        <f t="shared" si="22"/>
        <v>0</v>
      </c>
      <c r="R202">
        <f t="shared" si="23"/>
        <v>0</v>
      </c>
      <c r="T202">
        <f t="shared" si="24"/>
        <v>0</v>
      </c>
      <c r="U202">
        <f t="shared" si="25"/>
        <v>0</v>
      </c>
      <c r="V202">
        <f t="shared" si="26"/>
        <v>1</v>
      </c>
      <c r="AA202">
        <v>22312.93</v>
      </c>
      <c r="AB202">
        <v>5955</v>
      </c>
      <c r="AC202">
        <v>84.2</v>
      </c>
      <c r="AD202">
        <v>4.5999999999999996</v>
      </c>
      <c r="AE202">
        <f t="shared" si="27"/>
        <v>0</v>
      </c>
    </row>
    <row r="203" spans="1:31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P203">
        <f t="shared" si="21"/>
        <v>1</v>
      </c>
      <c r="Q203">
        <f t="shared" si="22"/>
        <v>0</v>
      </c>
      <c r="R203">
        <f t="shared" si="23"/>
        <v>0</v>
      </c>
      <c r="T203">
        <f t="shared" si="24"/>
        <v>0</v>
      </c>
      <c r="U203">
        <f t="shared" si="25"/>
        <v>0</v>
      </c>
      <c r="V203">
        <f t="shared" si="26"/>
        <v>1</v>
      </c>
      <c r="AA203">
        <v>78111.97</v>
      </c>
      <c r="AB203">
        <v>6389</v>
      </c>
      <c r="AC203">
        <v>83.9</v>
      </c>
      <c r="AD203">
        <v>4.8</v>
      </c>
      <c r="AE203">
        <f t="shared" si="27"/>
        <v>0</v>
      </c>
    </row>
    <row r="204" spans="1:31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P204">
        <f t="shared" si="21"/>
        <v>1</v>
      </c>
      <c r="Q204">
        <f t="shared" si="22"/>
        <v>0</v>
      </c>
      <c r="R204">
        <f t="shared" si="23"/>
        <v>0</v>
      </c>
      <c r="T204">
        <f t="shared" si="24"/>
        <v>0</v>
      </c>
      <c r="U204">
        <f t="shared" si="25"/>
        <v>0</v>
      </c>
      <c r="V204">
        <f t="shared" si="26"/>
        <v>1</v>
      </c>
      <c r="AA204">
        <v>35203.230000000003</v>
      </c>
      <c r="AB204">
        <v>6896</v>
      </c>
      <c r="AC204">
        <v>80.8</v>
      </c>
      <c r="AD204">
        <v>5</v>
      </c>
      <c r="AE204">
        <f t="shared" si="27"/>
        <v>0</v>
      </c>
    </row>
    <row r="205" spans="1:31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P205">
        <f t="shared" si="21"/>
        <v>1</v>
      </c>
      <c r="Q205">
        <f t="shared" si="22"/>
        <v>0</v>
      </c>
      <c r="R205">
        <f t="shared" si="23"/>
        <v>0</v>
      </c>
      <c r="T205">
        <f t="shared" si="24"/>
        <v>0</v>
      </c>
      <c r="U205">
        <f t="shared" si="25"/>
        <v>0</v>
      </c>
      <c r="V205">
        <f t="shared" si="26"/>
        <v>1</v>
      </c>
      <c r="AA205">
        <v>64104.28</v>
      </c>
      <c r="AB205">
        <v>6015</v>
      </c>
      <c r="AC205">
        <v>88.7</v>
      </c>
      <c r="AD205">
        <v>4</v>
      </c>
      <c r="AE205">
        <f t="shared" si="27"/>
        <v>0</v>
      </c>
    </row>
    <row r="206" spans="1:31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P206">
        <f t="shared" si="21"/>
        <v>1</v>
      </c>
      <c r="Q206">
        <f t="shared" si="22"/>
        <v>0</v>
      </c>
      <c r="R206">
        <f t="shared" si="23"/>
        <v>0</v>
      </c>
      <c r="T206">
        <f t="shared" si="24"/>
        <v>0</v>
      </c>
      <c r="U206">
        <f t="shared" si="25"/>
        <v>0</v>
      </c>
      <c r="V206">
        <f t="shared" si="26"/>
        <v>0</v>
      </c>
      <c r="AA206">
        <v>92090.14</v>
      </c>
      <c r="AB206">
        <v>9476</v>
      </c>
      <c r="AC206">
        <v>94.3</v>
      </c>
      <c r="AD206">
        <v>3.7</v>
      </c>
      <c r="AE206">
        <f t="shared" si="27"/>
        <v>0</v>
      </c>
    </row>
    <row r="207" spans="1:31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P207">
        <f t="shared" si="21"/>
        <v>1</v>
      </c>
      <c r="Q207">
        <f t="shared" si="22"/>
        <v>0</v>
      </c>
      <c r="R207">
        <f t="shared" si="23"/>
        <v>0</v>
      </c>
      <c r="T207">
        <f t="shared" si="24"/>
        <v>0</v>
      </c>
      <c r="U207">
        <f t="shared" si="25"/>
        <v>0</v>
      </c>
      <c r="V207">
        <f t="shared" si="26"/>
        <v>0</v>
      </c>
      <c r="AA207">
        <v>54300.87</v>
      </c>
      <c r="AB207">
        <v>7875</v>
      </c>
      <c r="AC207">
        <v>94.1</v>
      </c>
      <c r="AD207">
        <v>3.7</v>
      </c>
      <c r="AE207">
        <f t="shared" si="27"/>
        <v>0</v>
      </c>
    </row>
    <row r="208" spans="1:31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P208">
        <f t="shared" si="21"/>
        <v>1</v>
      </c>
      <c r="Q208">
        <f t="shared" si="22"/>
        <v>0</v>
      </c>
      <c r="R208">
        <f t="shared" si="23"/>
        <v>0</v>
      </c>
      <c r="T208">
        <f t="shared" si="24"/>
        <v>0</v>
      </c>
      <c r="U208">
        <f t="shared" si="25"/>
        <v>0</v>
      </c>
      <c r="V208">
        <f t="shared" si="26"/>
        <v>0</v>
      </c>
      <c r="AA208">
        <v>37983.35</v>
      </c>
      <c r="AB208">
        <v>9283</v>
      </c>
      <c r="AC208">
        <v>83.2</v>
      </c>
      <c r="AD208">
        <v>3.7</v>
      </c>
      <c r="AE208">
        <f t="shared" si="27"/>
        <v>0</v>
      </c>
    </row>
    <row r="209" spans="1:31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P209">
        <f t="shared" si="21"/>
        <v>1</v>
      </c>
      <c r="Q209">
        <f t="shared" si="22"/>
        <v>0</v>
      </c>
      <c r="R209">
        <f t="shared" si="23"/>
        <v>0</v>
      </c>
      <c r="T209">
        <f t="shared" si="24"/>
        <v>0</v>
      </c>
      <c r="U209">
        <f t="shared" si="25"/>
        <v>0</v>
      </c>
      <c r="V209">
        <f t="shared" si="26"/>
        <v>0</v>
      </c>
      <c r="AA209">
        <v>56413.83</v>
      </c>
      <c r="AB209">
        <v>8303</v>
      </c>
      <c r="AC209">
        <v>93.6</v>
      </c>
      <c r="AD209">
        <v>3.7</v>
      </c>
      <c r="AE209">
        <f t="shared" si="27"/>
        <v>0</v>
      </c>
    </row>
    <row r="210" spans="1:31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P210">
        <f t="shared" si="21"/>
        <v>1</v>
      </c>
      <c r="Q210">
        <f t="shared" si="22"/>
        <v>0</v>
      </c>
      <c r="R210">
        <f t="shared" si="23"/>
        <v>0</v>
      </c>
      <c r="T210">
        <f t="shared" si="24"/>
        <v>0</v>
      </c>
      <c r="U210">
        <f t="shared" si="25"/>
        <v>1</v>
      </c>
      <c r="V210">
        <f t="shared" si="26"/>
        <v>0</v>
      </c>
      <c r="AA210">
        <v>63457.19</v>
      </c>
      <c r="AB210">
        <v>10125</v>
      </c>
      <c r="AC210">
        <v>87</v>
      </c>
      <c r="AD210">
        <v>3.7</v>
      </c>
      <c r="AE210">
        <f t="shared" si="27"/>
        <v>0</v>
      </c>
    </row>
    <row r="211" spans="1:31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P211">
        <f t="shared" si="21"/>
        <v>1</v>
      </c>
      <c r="Q211">
        <f t="shared" si="22"/>
        <v>0</v>
      </c>
      <c r="R211">
        <f t="shared" si="23"/>
        <v>0</v>
      </c>
      <c r="T211">
        <f t="shared" si="24"/>
        <v>0</v>
      </c>
      <c r="U211">
        <f t="shared" si="25"/>
        <v>1</v>
      </c>
      <c r="V211">
        <f t="shared" si="26"/>
        <v>0</v>
      </c>
      <c r="AA211">
        <v>62949.7</v>
      </c>
      <c r="AB211">
        <v>9458</v>
      </c>
      <c r="AC211">
        <v>84.9</v>
      </c>
      <c r="AD211">
        <v>3.3</v>
      </c>
      <c r="AE211">
        <f t="shared" si="27"/>
        <v>0</v>
      </c>
    </row>
    <row r="212" spans="1:31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P212">
        <f t="shared" si="21"/>
        <v>1</v>
      </c>
      <c r="Q212">
        <f t="shared" si="22"/>
        <v>0</v>
      </c>
      <c r="R212">
        <f t="shared" si="23"/>
        <v>0</v>
      </c>
      <c r="T212">
        <f t="shared" si="24"/>
        <v>0</v>
      </c>
      <c r="U212">
        <f t="shared" si="25"/>
        <v>1</v>
      </c>
      <c r="V212">
        <f t="shared" si="26"/>
        <v>0</v>
      </c>
      <c r="AA212">
        <v>107970.19</v>
      </c>
      <c r="AB212">
        <v>12870</v>
      </c>
      <c r="AC212">
        <v>91.7</v>
      </c>
      <c r="AD212">
        <v>3.7</v>
      </c>
      <c r="AE212">
        <f t="shared" si="27"/>
        <v>0</v>
      </c>
    </row>
    <row r="213" spans="1:31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P213">
        <f t="shared" si="21"/>
        <v>1</v>
      </c>
      <c r="Q213">
        <f t="shared" si="22"/>
        <v>0</v>
      </c>
      <c r="R213">
        <f t="shared" si="23"/>
        <v>0</v>
      </c>
      <c r="T213">
        <f t="shared" si="24"/>
        <v>0</v>
      </c>
      <c r="U213">
        <f t="shared" si="25"/>
        <v>1</v>
      </c>
      <c r="V213">
        <f t="shared" si="26"/>
        <v>0</v>
      </c>
      <c r="AA213">
        <v>49405.75</v>
      </c>
      <c r="AB213">
        <v>9752</v>
      </c>
      <c r="AC213">
        <v>87</v>
      </c>
      <c r="AD213">
        <v>4.0999999999999996</v>
      </c>
      <c r="AE213">
        <f t="shared" si="27"/>
        <v>0</v>
      </c>
    </row>
    <row r="214" spans="1:31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P214">
        <f t="shared" si="21"/>
        <v>0</v>
      </c>
      <c r="Q214">
        <f t="shared" si="22"/>
        <v>0</v>
      </c>
      <c r="R214">
        <f t="shared" si="23"/>
        <v>0</v>
      </c>
      <c r="T214">
        <f t="shared" si="24"/>
        <v>1</v>
      </c>
      <c r="U214">
        <f t="shared" si="25"/>
        <v>0</v>
      </c>
      <c r="V214">
        <f t="shared" si="26"/>
        <v>0</v>
      </c>
      <c r="AA214">
        <v>50887.46</v>
      </c>
      <c r="AB214">
        <v>9505</v>
      </c>
      <c r="AC214">
        <v>89.7</v>
      </c>
      <c r="AD214">
        <v>4.3</v>
      </c>
      <c r="AE214">
        <f t="shared" si="27"/>
        <v>0</v>
      </c>
    </row>
    <row r="215" spans="1:31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P215">
        <f t="shared" si="21"/>
        <v>0</v>
      </c>
      <c r="Q215">
        <f t="shared" si="22"/>
        <v>0</v>
      </c>
      <c r="R215">
        <f t="shared" si="23"/>
        <v>0</v>
      </c>
      <c r="T215">
        <f t="shared" si="24"/>
        <v>1</v>
      </c>
      <c r="U215">
        <f t="shared" si="25"/>
        <v>0</v>
      </c>
      <c r="V215">
        <f t="shared" si="26"/>
        <v>0</v>
      </c>
      <c r="AA215">
        <v>41819.449999999997</v>
      </c>
      <c r="AB215">
        <v>9412</v>
      </c>
      <c r="AC215">
        <v>91</v>
      </c>
      <c r="AD215">
        <v>4.2</v>
      </c>
      <c r="AE215">
        <f t="shared" si="27"/>
        <v>0</v>
      </c>
    </row>
    <row r="216" spans="1:31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P216">
        <f t="shared" si="21"/>
        <v>0</v>
      </c>
      <c r="Q216">
        <f t="shared" si="22"/>
        <v>0</v>
      </c>
      <c r="R216">
        <f t="shared" si="23"/>
        <v>0</v>
      </c>
      <c r="T216">
        <f t="shared" si="24"/>
        <v>1</v>
      </c>
      <c r="U216">
        <f t="shared" si="25"/>
        <v>0</v>
      </c>
      <c r="V216">
        <f t="shared" si="26"/>
        <v>0</v>
      </c>
      <c r="AA216">
        <v>35296.54</v>
      </c>
      <c r="AB216">
        <v>9644</v>
      </c>
      <c r="AC216">
        <v>88</v>
      </c>
      <c r="AD216">
        <v>4.7</v>
      </c>
      <c r="AE216">
        <f t="shared" si="27"/>
        <v>0</v>
      </c>
    </row>
    <row r="217" spans="1:31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P217">
        <f t="shared" si="21"/>
        <v>0</v>
      </c>
      <c r="Q217">
        <f t="shared" si="22"/>
        <v>0</v>
      </c>
      <c r="R217">
        <f t="shared" si="23"/>
        <v>0</v>
      </c>
      <c r="T217">
        <f t="shared" si="24"/>
        <v>1</v>
      </c>
      <c r="U217">
        <f t="shared" si="25"/>
        <v>0</v>
      </c>
      <c r="V217">
        <f t="shared" si="26"/>
        <v>0</v>
      </c>
      <c r="AA217">
        <v>47391.09</v>
      </c>
      <c r="AB217">
        <v>11224</v>
      </c>
      <c r="AC217">
        <v>88.4</v>
      </c>
      <c r="AD217">
        <v>4.9000000000000004</v>
      </c>
      <c r="AE217">
        <f t="shared" si="27"/>
        <v>0</v>
      </c>
    </row>
    <row r="218" spans="1:31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P218">
        <f t="shared" si="21"/>
        <v>0</v>
      </c>
      <c r="Q218">
        <f t="shared" si="22"/>
        <v>1</v>
      </c>
      <c r="R218">
        <f t="shared" si="23"/>
        <v>0</v>
      </c>
      <c r="T218">
        <f t="shared" si="24"/>
        <v>0</v>
      </c>
      <c r="U218">
        <f t="shared" si="25"/>
        <v>0</v>
      </c>
      <c r="V218">
        <f t="shared" si="26"/>
        <v>1</v>
      </c>
      <c r="AA218">
        <v>69180.539999999994</v>
      </c>
      <c r="AB218">
        <v>5394</v>
      </c>
      <c r="AC218">
        <v>82.9</v>
      </c>
      <c r="AD218">
        <v>3.3</v>
      </c>
      <c r="AE218">
        <f t="shared" si="27"/>
        <v>0</v>
      </c>
    </row>
    <row r="219" spans="1:31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P219">
        <f t="shared" si="21"/>
        <v>0</v>
      </c>
      <c r="Q219">
        <f t="shared" si="22"/>
        <v>1</v>
      </c>
      <c r="R219">
        <f t="shared" si="23"/>
        <v>0</v>
      </c>
      <c r="T219">
        <f t="shared" si="24"/>
        <v>0</v>
      </c>
      <c r="U219">
        <f t="shared" si="25"/>
        <v>0</v>
      </c>
      <c r="V219">
        <f t="shared" si="26"/>
        <v>1</v>
      </c>
      <c r="AA219">
        <v>33987.33</v>
      </c>
      <c r="AB219">
        <v>5014</v>
      </c>
      <c r="AC219">
        <v>94.3</v>
      </c>
      <c r="AD219">
        <v>3.9</v>
      </c>
      <c r="AE219">
        <f t="shared" si="27"/>
        <v>0</v>
      </c>
    </row>
    <row r="220" spans="1:31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P220">
        <f t="shared" si="21"/>
        <v>0</v>
      </c>
      <c r="Q220">
        <f t="shared" si="22"/>
        <v>1</v>
      </c>
      <c r="R220">
        <f t="shared" si="23"/>
        <v>0</v>
      </c>
      <c r="T220">
        <f t="shared" si="24"/>
        <v>0</v>
      </c>
      <c r="U220">
        <f t="shared" si="25"/>
        <v>0</v>
      </c>
      <c r="V220">
        <f t="shared" si="26"/>
        <v>1</v>
      </c>
      <c r="AA220">
        <v>58785.33</v>
      </c>
      <c r="AB220">
        <v>4467</v>
      </c>
      <c r="AC220">
        <v>90.7</v>
      </c>
      <c r="AD220">
        <v>3.7</v>
      </c>
      <c r="AE220">
        <f t="shared" si="27"/>
        <v>0</v>
      </c>
    </row>
    <row r="221" spans="1:31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P221">
        <f t="shared" si="21"/>
        <v>0</v>
      </c>
      <c r="Q221">
        <f t="shared" si="22"/>
        <v>1</v>
      </c>
      <c r="R221">
        <f t="shared" si="23"/>
        <v>0</v>
      </c>
      <c r="T221">
        <f t="shared" si="24"/>
        <v>0</v>
      </c>
      <c r="U221">
        <f t="shared" si="25"/>
        <v>0</v>
      </c>
      <c r="V221">
        <f t="shared" si="26"/>
        <v>1</v>
      </c>
      <c r="AA221">
        <v>16451.849999999999</v>
      </c>
      <c r="AB221">
        <v>4678</v>
      </c>
      <c r="AC221">
        <v>95.9</v>
      </c>
      <c r="AD221">
        <v>3.9</v>
      </c>
      <c r="AE221">
        <f t="shared" si="27"/>
        <v>0</v>
      </c>
    </row>
    <row r="222" spans="1:31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P222">
        <f t="shared" si="21"/>
        <v>1</v>
      </c>
      <c r="Q222">
        <f t="shared" si="22"/>
        <v>0</v>
      </c>
      <c r="R222">
        <f t="shared" si="23"/>
        <v>0</v>
      </c>
      <c r="T222">
        <f t="shared" si="24"/>
        <v>0</v>
      </c>
      <c r="U222">
        <f t="shared" si="25"/>
        <v>1</v>
      </c>
      <c r="V222">
        <f t="shared" si="26"/>
        <v>0</v>
      </c>
      <c r="AA222">
        <v>53367.73</v>
      </c>
      <c r="AB222">
        <v>7291</v>
      </c>
      <c r="AC222">
        <v>90.6</v>
      </c>
      <c r="AD222">
        <v>3.8</v>
      </c>
      <c r="AE222">
        <f t="shared" si="27"/>
        <v>0</v>
      </c>
    </row>
    <row r="223" spans="1:31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P223">
        <f t="shared" si="21"/>
        <v>1</v>
      </c>
      <c r="Q223">
        <f t="shared" si="22"/>
        <v>0</v>
      </c>
      <c r="R223">
        <f t="shared" si="23"/>
        <v>0</v>
      </c>
      <c r="T223">
        <f t="shared" si="24"/>
        <v>0</v>
      </c>
      <c r="U223">
        <f t="shared" si="25"/>
        <v>1</v>
      </c>
      <c r="V223">
        <f t="shared" si="26"/>
        <v>0</v>
      </c>
      <c r="AA223">
        <v>27194.639999999999</v>
      </c>
      <c r="AB223">
        <v>7404</v>
      </c>
      <c r="AC223">
        <v>90.2</v>
      </c>
      <c r="AD223">
        <v>3.4</v>
      </c>
      <c r="AE223">
        <f t="shared" si="27"/>
        <v>0</v>
      </c>
    </row>
    <row r="224" spans="1:31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P224">
        <f t="shared" si="21"/>
        <v>1</v>
      </c>
      <c r="Q224">
        <f t="shared" si="22"/>
        <v>0</v>
      </c>
      <c r="R224">
        <f t="shared" si="23"/>
        <v>0</v>
      </c>
      <c r="T224">
        <f t="shared" si="24"/>
        <v>0</v>
      </c>
      <c r="U224">
        <f t="shared" si="25"/>
        <v>1</v>
      </c>
      <c r="V224">
        <f t="shared" si="26"/>
        <v>0</v>
      </c>
      <c r="AA224">
        <v>66962.740000000005</v>
      </c>
      <c r="AB224">
        <v>7880</v>
      </c>
      <c r="AC224">
        <v>90.4</v>
      </c>
      <c r="AD224">
        <v>3.3</v>
      </c>
      <c r="AE224">
        <f t="shared" si="27"/>
        <v>0</v>
      </c>
    </row>
    <row r="225" spans="1:31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P225">
        <f t="shared" si="21"/>
        <v>1</v>
      </c>
      <c r="Q225">
        <f t="shared" si="22"/>
        <v>0</v>
      </c>
      <c r="R225">
        <f t="shared" si="23"/>
        <v>0</v>
      </c>
      <c r="T225">
        <f t="shared" si="24"/>
        <v>0</v>
      </c>
      <c r="U225">
        <f t="shared" si="25"/>
        <v>1</v>
      </c>
      <c r="V225">
        <f t="shared" si="26"/>
        <v>0</v>
      </c>
      <c r="AA225">
        <v>73540.990000000005</v>
      </c>
      <c r="AB225">
        <v>8773</v>
      </c>
      <c r="AC225">
        <v>84.4</v>
      </c>
      <c r="AD225">
        <v>3.6</v>
      </c>
      <c r="AE225">
        <f t="shared" si="27"/>
        <v>0</v>
      </c>
    </row>
    <row r="226" spans="1:31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P226">
        <f t="shared" si="21"/>
        <v>1</v>
      </c>
      <c r="Q226">
        <f t="shared" si="22"/>
        <v>0</v>
      </c>
      <c r="R226">
        <f t="shared" si="23"/>
        <v>0</v>
      </c>
      <c r="T226">
        <f t="shared" si="24"/>
        <v>0</v>
      </c>
      <c r="U226">
        <f t="shared" si="25"/>
        <v>0</v>
      </c>
      <c r="V226">
        <f t="shared" si="26"/>
        <v>0</v>
      </c>
      <c r="AA226">
        <v>68212.289999999994</v>
      </c>
      <c r="AB226">
        <v>4713</v>
      </c>
      <c r="AC226">
        <v>82.6</v>
      </c>
      <c r="AD226">
        <v>3</v>
      </c>
      <c r="AE226">
        <f t="shared" si="27"/>
        <v>0</v>
      </c>
    </row>
    <row r="227" spans="1:31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P227">
        <f t="shared" si="21"/>
        <v>1</v>
      </c>
      <c r="Q227">
        <f t="shared" si="22"/>
        <v>0</v>
      </c>
      <c r="R227">
        <f t="shared" si="23"/>
        <v>0</v>
      </c>
      <c r="T227">
        <f t="shared" si="24"/>
        <v>0</v>
      </c>
      <c r="U227">
        <f t="shared" si="25"/>
        <v>0</v>
      </c>
      <c r="V227">
        <f t="shared" si="26"/>
        <v>0</v>
      </c>
      <c r="AA227">
        <v>57225.98</v>
      </c>
      <c r="AB227">
        <v>2842</v>
      </c>
      <c r="AC227">
        <v>79.5</v>
      </c>
      <c r="AD227">
        <v>3.4</v>
      </c>
      <c r="AE227">
        <f t="shared" si="27"/>
        <v>0</v>
      </c>
    </row>
    <row r="228" spans="1:31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P228">
        <f t="shared" si="21"/>
        <v>1</v>
      </c>
      <c r="Q228">
        <f t="shared" si="22"/>
        <v>0</v>
      </c>
      <c r="R228">
        <f t="shared" si="23"/>
        <v>0</v>
      </c>
      <c r="T228">
        <f t="shared" si="24"/>
        <v>0</v>
      </c>
      <c r="U228">
        <f t="shared" si="25"/>
        <v>0</v>
      </c>
      <c r="V228">
        <f t="shared" si="26"/>
        <v>0</v>
      </c>
      <c r="AA228">
        <v>42932.02</v>
      </c>
      <c r="AB228">
        <v>3872</v>
      </c>
      <c r="AC228">
        <v>83.2</v>
      </c>
      <c r="AD228">
        <v>3.3</v>
      </c>
      <c r="AE228">
        <f t="shared" si="27"/>
        <v>0</v>
      </c>
    </row>
    <row r="229" spans="1:31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3.9239999999999999</v>
      </c>
      <c r="M229">
        <v>529598.93999999994</v>
      </c>
      <c r="N229">
        <v>84334.33</v>
      </c>
      <c r="P229">
        <f t="shared" si="21"/>
        <v>1</v>
      </c>
      <c r="Q229">
        <f t="shared" si="22"/>
        <v>0</v>
      </c>
      <c r="R229">
        <f t="shared" si="23"/>
        <v>0</v>
      </c>
      <c r="T229">
        <f t="shared" si="24"/>
        <v>0</v>
      </c>
      <c r="U229">
        <f t="shared" si="25"/>
        <v>0</v>
      </c>
      <c r="V229">
        <f t="shared" si="26"/>
        <v>0</v>
      </c>
      <c r="AA229">
        <v>39341.449999999997</v>
      </c>
      <c r="AB229">
        <v>1375</v>
      </c>
      <c r="AC229">
        <v>95</v>
      </c>
      <c r="AD229">
        <v>3.9239999999999999</v>
      </c>
      <c r="AE229">
        <f t="shared" si="27"/>
        <v>0</v>
      </c>
    </row>
    <row r="230" spans="1:31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P230">
        <f t="shared" si="21"/>
        <v>1</v>
      </c>
      <c r="Q230">
        <f t="shared" si="22"/>
        <v>0</v>
      </c>
      <c r="R230">
        <f t="shared" si="23"/>
        <v>0</v>
      </c>
      <c r="T230">
        <f t="shared" si="24"/>
        <v>0</v>
      </c>
      <c r="U230">
        <f t="shared" si="25"/>
        <v>1</v>
      </c>
      <c r="V230">
        <f t="shared" si="26"/>
        <v>0</v>
      </c>
      <c r="AA230">
        <v>37324.230000000003</v>
      </c>
      <c r="AB230">
        <v>5957</v>
      </c>
      <c r="AC230">
        <v>85.9</v>
      </c>
      <c r="AD230">
        <v>3.8</v>
      </c>
      <c r="AE230">
        <f t="shared" si="27"/>
        <v>0</v>
      </c>
    </row>
    <row r="231" spans="1:31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P231">
        <f t="shared" si="21"/>
        <v>1</v>
      </c>
      <c r="Q231">
        <f t="shared" si="22"/>
        <v>0</v>
      </c>
      <c r="R231">
        <f t="shared" si="23"/>
        <v>0</v>
      </c>
      <c r="T231">
        <f t="shared" si="24"/>
        <v>0</v>
      </c>
      <c r="U231">
        <f t="shared" si="25"/>
        <v>1</v>
      </c>
      <c r="V231">
        <f t="shared" si="26"/>
        <v>0</v>
      </c>
      <c r="AA231">
        <v>113736</v>
      </c>
      <c r="AB231">
        <v>8961</v>
      </c>
      <c r="AC231">
        <v>86.2</v>
      </c>
      <c r="AD231">
        <v>4</v>
      </c>
      <c r="AE231">
        <f t="shared" si="27"/>
        <v>0</v>
      </c>
    </row>
    <row r="232" spans="1:31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P232">
        <f t="shared" si="21"/>
        <v>1</v>
      </c>
      <c r="Q232">
        <f t="shared" si="22"/>
        <v>0</v>
      </c>
      <c r="R232">
        <f t="shared" si="23"/>
        <v>0</v>
      </c>
      <c r="T232">
        <f t="shared" si="24"/>
        <v>0</v>
      </c>
      <c r="U232">
        <f t="shared" si="25"/>
        <v>1</v>
      </c>
      <c r="V232">
        <f t="shared" si="26"/>
        <v>0</v>
      </c>
      <c r="AA232">
        <v>33173.949999999997</v>
      </c>
      <c r="AB232">
        <v>6545</v>
      </c>
      <c r="AC232">
        <v>84.4</v>
      </c>
      <c r="AD232">
        <v>3.9</v>
      </c>
      <c r="AE232">
        <f t="shared" si="27"/>
        <v>0</v>
      </c>
    </row>
    <row r="233" spans="1:31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4.5990000000000002</v>
      </c>
      <c r="K233">
        <v>0</v>
      </c>
      <c r="L233">
        <v>3.7</v>
      </c>
      <c r="M233">
        <v>647512.85</v>
      </c>
      <c r="N233">
        <v>153835.57</v>
      </c>
      <c r="P233">
        <f t="shared" si="21"/>
        <v>1</v>
      </c>
      <c r="Q233">
        <f t="shared" si="22"/>
        <v>0</v>
      </c>
      <c r="R233">
        <f t="shared" si="23"/>
        <v>0</v>
      </c>
      <c r="T233">
        <f t="shared" si="24"/>
        <v>0</v>
      </c>
      <c r="U233">
        <f t="shared" si="25"/>
        <v>1</v>
      </c>
      <c r="V233">
        <f t="shared" si="26"/>
        <v>0</v>
      </c>
      <c r="AA233">
        <v>25818.080000000002</v>
      </c>
      <c r="AB233">
        <v>5457</v>
      </c>
      <c r="AC233">
        <v>95.4</v>
      </c>
      <c r="AD233">
        <v>3.7</v>
      </c>
      <c r="AE233">
        <f t="shared" si="27"/>
        <v>0</v>
      </c>
    </row>
    <row r="234" spans="1:31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P234">
        <f t="shared" si="21"/>
        <v>0</v>
      </c>
      <c r="Q234">
        <f t="shared" si="22"/>
        <v>0</v>
      </c>
      <c r="R234">
        <f t="shared" si="23"/>
        <v>0</v>
      </c>
      <c r="T234">
        <f t="shared" si="24"/>
        <v>1</v>
      </c>
      <c r="U234">
        <f t="shared" si="25"/>
        <v>0</v>
      </c>
      <c r="V234">
        <f t="shared" si="26"/>
        <v>0</v>
      </c>
      <c r="AA234">
        <v>47241.919999999998</v>
      </c>
      <c r="AB234">
        <v>4264</v>
      </c>
      <c r="AC234">
        <v>95.3</v>
      </c>
      <c r="AD234">
        <v>4.3</v>
      </c>
      <c r="AE234">
        <f t="shared" si="27"/>
        <v>0</v>
      </c>
    </row>
    <row r="235" spans="1:31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P235">
        <f t="shared" si="21"/>
        <v>0</v>
      </c>
      <c r="Q235">
        <f t="shared" si="22"/>
        <v>0</v>
      </c>
      <c r="R235">
        <f t="shared" si="23"/>
        <v>0</v>
      </c>
      <c r="T235">
        <f t="shared" si="24"/>
        <v>1</v>
      </c>
      <c r="U235">
        <f t="shared" si="25"/>
        <v>0</v>
      </c>
      <c r="V235">
        <f t="shared" si="26"/>
        <v>0</v>
      </c>
      <c r="AA235">
        <v>61650.79</v>
      </c>
      <c r="AB235">
        <v>5321</v>
      </c>
      <c r="AC235">
        <v>89.2</v>
      </c>
      <c r="AD235">
        <v>4</v>
      </c>
      <c r="AE235">
        <f t="shared" si="27"/>
        <v>0</v>
      </c>
    </row>
    <row r="236" spans="1:31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P236">
        <f t="shared" si="21"/>
        <v>0</v>
      </c>
      <c r="Q236">
        <f t="shared" si="22"/>
        <v>0</v>
      </c>
      <c r="R236">
        <f t="shared" si="23"/>
        <v>0</v>
      </c>
      <c r="T236">
        <f t="shared" si="24"/>
        <v>1</v>
      </c>
      <c r="U236">
        <f t="shared" si="25"/>
        <v>0</v>
      </c>
      <c r="V236">
        <f t="shared" si="26"/>
        <v>0</v>
      </c>
      <c r="AA236">
        <v>62582.71</v>
      </c>
      <c r="AB236">
        <v>5479</v>
      </c>
      <c r="AC236">
        <v>81.2</v>
      </c>
      <c r="AD236">
        <v>4.5</v>
      </c>
      <c r="AE236">
        <f t="shared" si="27"/>
        <v>0</v>
      </c>
    </row>
    <row r="237" spans="1:31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P237">
        <f t="shared" si="21"/>
        <v>0</v>
      </c>
      <c r="Q237">
        <f t="shared" si="22"/>
        <v>0</v>
      </c>
      <c r="R237">
        <f t="shared" si="23"/>
        <v>0</v>
      </c>
      <c r="T237">
        <f t="shared" si="24"/>
        <v>1</v>
      </c>
      <c r="U237">
        <f t="shared" si="25"/>
        <v>0</v>
      </c>
      <c r="V237">
        <f t="shared" si="26"/>
        <v>0</v>
      </c>
      <c r="AA237">
        <v>47944.14</v>
      </c>
      <c r="AB237">
        <v>6169</v>
      </c>
      <c r="AC237">
        <v>92.2</v>
      </c>
      <c r="AD237">
        <v>4.0999999999999996</v>
      </c>
      <c r="AE237">
        <f t="shared" si="27"/>
        <v>0</v>
      </c>
    </row>
    <row r="238" spans="1:31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P238">
        <f t="shared" si="21"/>
        <v>0</v>
      </c>
      <c r="Q238">
        <f t="shared" si="22"/>
        <v>0</v>
      </c>
      <c r="R238">
        <f t="shared" si="23"/>
        <v>0</v>
      </c>
      <c r="T238">
        <f t="shared" si="24"/>
        <v>0</v>
      </c>
      <c r="U238">
        <f t="shared" si="25"/>
        <v>0</v>
      </c>
      <c r="V238">
        <f t="shared" si="26"/>
        <v>0</v>
      </c>
      <c r="AA238">
        <v>46495.4</v>
      </c>
      <c r="AB238">
        <v>9908</v>
      </c>
      <c r="AC238">
        <v>89.4</v>
      </c>
      <c r="AD238">
        <v>3.7</v>
      </c>
      <c r="AE238">
        <f t="shared" si="27"/>
        <v>0</v>
      </c>
    </row>
    <row r="239" spans="1:31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P239">
        <f t="shared" si="21"/>
        <v>0</v>
      </c>
      <c r="Q239">
        <f t="shared" si="22"/>
        <v>0</v>
      </c>
      <c r="R239">
        <f t="shared" si="23"/>
        <v>0</v>
      </c>
      <c r="T239">
        <f t="shared" si="24"/>
        <v>0</v>
      </c>
      <c r="U239">
        <f t="shared" si="25"/>
        <v>0</v>
      </c>
      <c r="V239">
        <f t="shared" si="26"/>
        <v>0</v>
      </c>
      <c r="AA239">
        <v>72961.95</v>
      </c>
      <c r="AB239">
        <v>9996</v>
      </c>
      <c r="AC239">
        <v>89.1</v>
      </c>
      <c r="AD239">
        <v>3.4</v>
      </c>
      <c r="AE239">
        <f t="shared" si="27"/>
        <v>0</v>
      </c>
    </row>
    <row r="240" spans="1:31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P240">
        <f t="shared" si="21"/>
        <v>0</v>
      </c>
      <c r="Q240">
        <f t="shared" si="22"/>
        <v>0</v>
      </c>
      <c r="R240">
        <f t="shared" si="23"/>
        <v>0</v>
      </c>
      <c r="T240">
        <f t="shared" si="24"/>
        <v>0</v>
      </c>
      <c r="U240">
        <f t="shared" si="25"/>
        <v>0</v>
      </c>
      <c r="V240">
        <f t="shared" si="26"/>
        <v>0</v>
      </c>
      <c r="AA240">
        <v>59060.05</v>
      </c>
      <c r="AB240">
        <v>9702</v>
      </c>
      <c r="AC240">
        <v>80.900000000000006</v>
      </c>
      <c r="AD240">
        <v>3.2</v>
      </c>
      <c r="AE240">
        <f t="shared" si="27"/>
        <v>0</v>
      </c>
    </row>
    <row r="241" spans="1:31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P241">
        <f t="shared" si="21"/>
        <v>0</v>
      </c>
      <c r="Q241">
        <f t="shared" si="22"/>
        <v>0</v>
      </c>
      <c r="R241">
        <f t="shared" si="23"/>
        <v>0</v>
      </c>
      <c r="T241">
        <f t="shared" si="24"/>
        <v>0</v>
      </c>
      <c r="U241">
        <f t="shared" si="25"/>
        <v>0</v>
      </c>
      <c r="V241">
        <f t="shared" si="26"/>
        <v>0</v>
      </c>
      <c r="AA241">
        <v>26248.1</v>
      </c>
      <c r="AB241">
        <v>9314</v>
      </c>
      <c r="AC241">
        <v>83.7</v>
      </c>
      <c r="AD241">
        <v>3.3</v>
      </c>
      <c r="AE241">
        <f t="shared" si="27"/>
        <v>0</v>
      </c>
    </row>
    <row r="242" spans="1:31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P242">
        <f t="shared" si="21"/>
        <v>0</v>
      </c>
      <c r="Q242">
        <f t="shared" si="22"/>
        <v>0</v>
      </c>
      <c r="R242">
        <f t="shared" si="23"/>
        <v>1</v>
      </c>
      <c r="T242">
        <f t="shared" si="24"/>
        <v>0</v>
      </c>
      <c r="U242">
        <f t="shared" si="25"/>
        <v>0</v>
      </c>
      <c r="V242">
        <f t="shared" si="26"/>
        <v>1</v>
      </c>
      <c r="AA242">
        <v>69900.12</v>
      </c>
      <c r="AB242">
        <v>8055</v>
      </c>
      <c r="AC242">
        <v>85.6</v>
      </c>
      <c r="AD242">
        <v>2.9</v>
      </c>
      <c r="AE242">
        <f t="shared" si="27"/>
        <v>0</v>
      </c>
    </row>
    <row r="243" spans="1:31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P243">
        <f t="shared" si="21"/>
        <v>0</v>
      </c>
      <c r="Q243">
        <f t="shared" si="22"/>
        <v>0</v>
      </c>
      <c r="R243">
        <f t="shared" si="23"/>
        <v>1</v>
      </c>
      <c r="T243">
        <f t="shared" si="24"/>
        <v>0</v>
      </c>
      <c r="U243">
        <f t="shared" si="25"/>
        <v>0</v>
      </c>
      <c r="V243">
        <f t="shared" si="26"/>
        <v>1</v>
      </c>
      <c r="AA243">
        <v>51781.599999999999</v>
      </c>
      <c r="AB243">
        <v>5648</v>
      </c>
      <c r="AC243">
        <v>85.5</v>
      </c>
      <c r="AD243">
        <v>3.7</v>
      </c>
      <c r="AE243">
        <f t="shared" si="27"/>
        <v>0</v>
      </c>
    </row>
    <row r="244" spans="1:31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P244">
        <f t="shared" si="21"/>
        <v>0</v>
      </c>
      <c r="Q244">
        <f t="shared" si="22"/>
        <v>0</v>
      </c>
      <c r="R244">
        <f t="shared" si="23"/>
        <v>1</v>
      </c>
      <c r="T244">
        <f t="shared" si="24"/>
        <v>0</v>
      </c>
      <c r="U244">
        <f t="shared" si="25"/>
        <v>0</v>
      </c>
      <c r="V244">
        <f t="shared" si="26"/>
        <v>1</v>
      </c>
      <c r="AA244">
        <v>70799.64</v>
      </c>
      <c r="AB244">
        <v>10076</v>
      </c>
      <c r="AC244">
        <v>84.8</v>
      </c>
      <c r="AD244">
        <v>3.5</v>
      </c>
      <c r="AE244">
        <f t="shared" si="27"/>
        <v>0</v>
      </c>
    </row>
    <row r="245" spans="1:31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P245">
        <f t="shared" si="21"/>
        <v>0</v>
      </c>
      <c r="Q245">
        <f t="shared" si="22"/>
        <v>0</v>
      </c>
      <c r="R245">
        <f t="shared" si="23"/>
        <v>1</v>
      </c>
      <c r="T245">
        <f t="shared" si="24"/>
        <v>0</v>
      </c>
      <c r="U245">
        <f t="shared" si="25"/>
        <v>0</v>
      </c>
      <c r="V245">
        <f t="shared" si="26"/>
        <v>1</v>
      </c>
      <c r="AA245">
        <v>53546.34</v>
      </c>
      <c r="AB245">
        <v>8004</v>
      </c>
      <c r="AC245">
        <v>95.2</v>
      </c>
      <c r="AD245">
        <v>3</v>
      </c>
      <c r="AE245">
        <f t="shared" si="27"/>
        <v>0</v>
      </c>
    </row>
    <row r="246" spans="1:31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P246">
        <f t="shared" si="21"/>
        <v>1</v>
      </c>
      <c r="Q246">
        <f t="shared" si="22"/>
        <v>0</v>
      </c>
      <c r="R246">
        <f t="shared" si="23"/>
        <v>0</v>
      </c>
      <c r="T246">
        <f t="shared" si="24"/>
        <v>0</v>
      </c>
      <c r="U246">
        <f t="shared" si="25"/>
        <v>1</v>
      </c>
      <c r="V246">
        <f t="shared" si="26"/>
        <v>0</v>
      </c>
      <c r="AA246">
        <v>76942.2</v>
      </c>
      <c r="AB246">
        <v>8934</v>
      </c>
      <c r="AC246">
        <v>91</v>
      </c>
      <c r="AD246">
        <v>3.2</v>
      </c>
      <c r="AE246">
        <f t="shared" si="27"/>
        <v>0</v>
      </c>
    </row>
    <row r="247" spans="1:31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P247">
        <f t="shared" si="21"/>
        <v>1</v>
      </c>
      <c r="Q247">
        <f t="shared" si="22"/>
        <v>0</v>
      </c>
      <c r="R247">
        <f t="shared" si="23"/>
        <v>0</v>
      </c>
      <c r="T247">
        <f t="shared" si="24"/>
        <v>0</v>
      </c>
      <c r="U247">
        <f t="shared" si="25"/>
        <v>1</v>
      </c>
      <c r="V247">
        <f t="shared" si="26"/>
        <v>0</v>
      </c>
      <c r="AA247">
        <v>48060.78</v>
      </c>
      <c r="AB247">
        <v>8733</v>
      </c>
      <c r="AC247">
        <v>89.9</v>
      </c>
      <c r="AD247">
        <v>3.4</v>
      </c>
      <c r="AE247">
        <f t="shared" si="27"/>
        <v>0</v>
      </c>
    </row>
    <row r="248" spans="1:31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P248">
        <f t="shared" si="21"/>
        <v>1</v>
      </c>
      <c r="Q248">
        <f t="shared" si="22"/>
        <v>0</v>
      </c>
      <c r="R248">
        <f t="shared" si="23"/>
        <v>0</v>
      </c>
      <c r="T248">
        <f t="shared" si="24"/>
        <v>0</v>
      </c>
      <c r="U248">
        <f t="shared" si="25"/>
        <v>1</v>
      </c>
      <c r="V248">
        <f t="shared" si="26"/>
        <v>0</v>
      </c>
      <c r="AA248">
        <v>57390.04</v>
      </c>
      <c r="AB248">
        <v>7374</v>
      </c>
      <c r="AC248">
        <v>91.8</v>
      </c>
      <c r="AD248">
        <v>3.1</v>
      </c>
      <c r="AE248">
        <f t="shared" si="27"/>
        <v>0</v>
      </c>
    </row>
    <row r="249" spans="1:31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P249">
        <f t="shared" si="21"/>
        <v>1</v>
      </c>
      <c r="Q249">
        <f t="shared" si="22"/>
        <v>0</v>
      </c>
      <c r="R249">
        <f t="shared" si="23"/>
        <v>0</v>
      </c>
      <c r="T249">
        <f t="shared" si="24"/>
        <v>0</v>
      </c>
      <c r="U249">
        <f t="shared" si="25"/>
        <v>1</v>
      </c>
      <c r="V249">
        <f t="shared" si="26"/>
        <v>0</v>
      </c>
      <c r="AA249">
        <v>21536.18</v>
      </c>
      <c r="AB249">
        <v>8119</v>
      </c>
      <c r="AC249">
        <v>90.4</v>
      </c>
      <c r="AD249">
        <v>3.3</v>
      </c>
      <c r="AE249">
        <f t="shared" si="27"/>
        <v>0</v>
      </c>
    </row>
    <row r="250" spans="1:31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4.5990000000000002</v>
      </c>
      <c r="K250">
        <v>0</v>
      </c>
      <c r="L250">
        <v>3.8</v>
      </c>
      <c r="M250">
        <v>606783.67000000004</v>
      </c>
      <c r="N250">
        <v>74515.87</v>
      </c>
      <c r="P250">
        <f t="shared" si="21"/>
        <v>0</v>
      </c>
      <c r="Q250">
        <f t="shared" si="22"/>
        <v>1</v>
      </c>
      <c r="R250">
        <f t="shared" si="23"/>
        <v>0</v>
      </c>
      <c r="T250">
        <f t="shared" si="24"/>
        <v>0</v>
      </c>
      <c r="U250">
        <f t="shared" si="25"/>
        <v>1</v>
      </c>
      <c r="V250">
        <f t="shared" si="26"/>
        <v>0</v>
      </c>
      <c r="AA250">
        <v>40923.67</v>
      </c>
      <c r="AB250">
        <v>3875</v>
      </c>
      <c r="AC250">
        <v>96.1</v>
      </c>
      <c r="AD250">
        <v>3.8</v>
      </c>
      <c r="AE250">
        <f t="shared" si="27"/>
        <v>0</v>
      </c>
    </row>
    <row r="251" spans="1:31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P251">
        <f t="shared" si="21"/>
        <v>0</v>
      </c>
      <c r="Q251">
        <f t="shared" si="22"/>
        <v>1</v>
      </c>
      <c r="R251">
        <f t="shared" si="23"/>
        <v>0</v>
      </c>
      <c r="T251">
        <f t="shared" si="24"/>
        <v>0</v>
      </c>
      <c r="U251">
        <f t="shared" si="25"/>
        <v>1</v>
      </c>
      <c r="V251">
        <f t="shared" si="26"/>
        <v>0</v>
      </c>
      <c r="AA251">
        <v>72932.55</v>
      </c>
      <c r="AB251">
        <v>5765</v>
      </c>
      <c r="AC251">
        <v>81.8</v>
      </c>
      <c r="AD251">
        <v>3.6</v>
      </c>
      <c r="AE251">
        <f t="shared" si="27"/>
        <v>0</v>
      </c>
    </row>
    <row r="252" spans="1:31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P252">
        <f t="shared" si="21"/>
        <v>0</v>
      </c>
      <c r="Q252">
        <f t="shared" si="22"/>
        <v>1</v>
      </c>
      <c r="R252">
        <f t="shared" si="23"/>
        <v>0</v>
      </c>
      <c r="T252">
        <f t="shared" si="24"/>
        <v>0</v>
      </c>
      <c r="U252">
        <f t="shared" si="25"/>
        <v>1</v>
      </c>
      <c r="V252">
        <f t="shared" si="26"/>
        <v>0</v>
      </c>
      <c r="AA252">
        <v>38361.93</v>
      </c>
      <c r="AB252">
        <v>6322</v>
      </c>
      <c r="AC252">
        <v>88.4</v>
      </c>
      <c r="AD252">
        <v>4</v>
      </c>
      <c r="AE252">
        <f t="shared" si="27"/>
        <v>0</v>
      </c>
    </row>
    <row r="253" spans="1:31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P253">
        <f t="shared" si="21"/>
        <v>0</v>
      </c>
      <c r="Q253">
        <f t="shared" si="22"/>
        <v>1</v>
      </c>
      <c r="R253">
        <f t="shared" si="23"/>
        <v>0</v>
      </c>
      <c r="T253">
        <f t="shared" si="24"/>
        <v>0</v>
      </c>
      <c r="U253">
        <f t="shared" si="25"/>
        <v>1</v>
      </c>
      <c r="V253">
        <f t="shared" si="26"/>
        <v>0</v>
      </c>
      <c r="AA253">
        <v>97480.94</v>
      </c>
      <c r="AB253">
        <v>6840</v>
      </c>
      <c r="AC253">
        <v>79.2</v>
      </c>
      <c r="AD253">
        <v>4</v>
      </c>
      <c r="AE253">
        <f t="shared" si="27"/>
        <v>0</v>
      </c>
    </row>
    <row r="254" spans="1:31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P254">
        <f t="shared" si="21"/>
        <v>0</v>
      </c>
      <c r="Q254">
        <f t="shared" si="22"/>
        <v>0</v>
      </c>
      <c r="R254">
        <f t="shared" si="23"/>
        <v>1</v>
      </c>
      <c r="T254">
        <f t="shared" si="24"/>
        <v>0</v>
      </c>
      <c r="U254">
        <f t="shared" si="25"/>
        <v>0</v>
      </c>
      <c r="V254">
        <f t="shared" si="26"/>
        <v>1</v>
      </c>
      <c r="AA254">
        <v>81801.8</v>
      </c>
      <c r="AB254">
        <v>6782</v>
      </c>
      <c r="AC254">
        <v>99</v>
      </c>
      <c r="AD254">
        <v>3.7</v>
      </c>
      <c r="AE254">
        <f t="shared" si="27"/>
        <v>0</v>
      </c>
    </row>
    <row r="255" spans="1:31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P255">
        <f t="shared" si="21"/>
        <v>0</v>
      </c>
      <c r="Q255">
        <f t="shared" si="22"/>
        <v>0</v>
      </c>
      <c r="R255">
        <f t="shared" si="23"/>
        <v>1</v>
      </c>
      <c r="T255">
        <f t="shared" si="24"/>
        <v>0</v>
      </c>
      <c r="U255">
        <f t="shared" si="25"/>
        <v>0</v>
      </c>
      <c r="V255">
        <f t="shared" si="26"/>
        <v>1</v>
      </c>
      <c r="AA255">
        <v>63582.11</v>
      </c>
      <c r="AB255">
        <v>6856</v>
      </c>
      <c r="AC255">
        <v>89.5</v>
      </c>
      <c r="AD255">
        <v>3.2</v>
      </c>
      <c r="AE255">
        <f t="shared" si="27"/>
        <v>0</v>
      </c>
    </row>
    <row r="256" spans="1:31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P256">
        <f t="shared" si="21"/>
        <v>0</v>
      </c>
      <c r="Q256">
        <f t="shared" si="22"/>
        <v>0</v>
      </c>
      <c r="R256">
        <f t="shared" si="23"/>
        <v>1</v>
      </c>
      <c r="T256">
        <f t="shared" si="24"/>
        <v>0</v>
      </c>
      <c r="U256">
        <f t="shared" si="25"/>
        <v>0</v>
      </c>
      <c r="V256">
        <f t="shared" si="26"/>
        <v>1</v>
      </c>
      <c r="AA256">
        <v>75412.740000000005</v>
      </c>
      <c r="AB256">
        <v>5641</v>
      </c>
      <c r="AC256">
        <v>87.9</v>
      </c>
      <c r="AD256">
        <v>3.6</v>
      </c>
      <c r="AE256">
        <f t="shared" si="27"/>
        <v>0</v>
      </c>
    </row>
    <row r="257" spans="1:31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P257">
        <f t="shared" si="21"/>
        <v>0</v>
      </c>
      <c r="Q257">
        <f t="shared" si="22"/>
        <v>0</v>
      </c>
      <c r="R257">
        <f t="shared" si="23"/>
        <v>1</v>
      </c>
      <c r="T257">
        <f t="shared" si="24"/>
        <v>0</v>
      </c>
      <c r="U257">
        <f t="shared" si="25"/>
        <v>0</v>
      </c>
      <c r="V257">
        <f t="shared" si="26"/>
        <v>1</v>
      </c>
      <c r="AA257">
        <v>36290.080000000002</v>
      </c>
      <c r="AB257">
        <v>5787</v>
      </c>
      <c r="AC257">
        <v>88.3</v>
      </c>
      <c r="AD257">
        <v>4.0999999999999996</v>
      </c>
      <c r="AE257">
        <f t="shared" si="27"/>
        <v>0</v>
      </c>
    </row>
    <row r="258" spans="1:31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P258">
        <f t="shared" si="21"/>
        <v>0</v>
      </c>
      <c r="Q258">
        <f t="shared" si="22"/>
        <v>0</v>
      </c>
      <c r="R258">
        <f t="shared" si="23"/>
        <v>1</v>
      </c>
      <c r="T258">
        <f t="shared" si="24"/>
        <v>0</v>
      </c>
      <c r="U258">
        <f t="shared" si="25"/>
        <v>0</v>
      </c>
      <c r="V258">
        <f t="shared" si="26"/>
        <v>0</v>
      </c>
      <c r="AA258">
        <v>65272.58</v>
      </c>
      <c r="AB258">
        <v>8165</v>
      </c>
      <c r="AC258">
        <v>87.8</v>
      </c>
      <c r="AD258">
        <v>4.3</v>
      </c>
      <c r="AE258">
        <f t="shared" si="27"/>
        <v>0</v>
      </c>
    </row>
    <row r="259" spans="1:31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P259">
        <f t="shared" ref="P259:P321" si="28">IF(C259="East",1,0)</f>
        <v>0</v>
      </c>
      <c r="Q259">
        <f t="shared" ref="Q259:Q321" si="29">IF(C259="North",1,0)</f>
        <v>0</v>
      </c>
      <c r="R259">
        <f t="shared" ref="R259:R321" si="30">IF(C259="South",1,0)</f>
        <v>1</v>
      </c>
      <c r="T259">
        <f t="shared" ref="T259:T321" si="31">IF(D259="Residential",1,0)</f>
        <v>0</v>
      </c>
      <c r="U259">
        <f t="shared" ref="U259:U321" si="32">IF(D259="High Street",1,0)</f>
        <v>0</v>
      </c>
      <c r="V259">
        <f t="shared" ref="V259:V321" si="33">IF(D259="Airport",1,0)</f>
        <v>0</v>
      </c>
      <c r="AA259">
        <v>28670.43</v>
      </c>
      <c r="AB259">
        <v>7574</v>
      </c>
      <c r="AC259">
        <v>82.7</v>
      </c>
      <c r="AD259">
        <v>4.5999999999999996</v>
      </c>
      <c r="AE259">
        <f t="shared" ref="AE259:AE321" si="34">IF(Q259="North",1,0)</f>
        <v>0</v>
      </c>
    </row>
    <row r="260" spans="1:31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P260">
        <f t="shared" si="28"/>
        <v>0</v>
      </c>
      <c r="Q260">
        <f t="shared" si="29"/>
        <v>0</v>
      </c>
      <c r="R260">
        <f t="shared" si="30"/>
        <v>1</v>
      </c>
      <c r="T260">
        <f t="shared" si="31"/>
        <v>0</v>
      </c>
      <c r="U260">
        <f t="shared" si="32"/>
        <v>0</v>
      </c>
      <c r="V260">
        <f t="shared" si="33"/>
        <v>0</v>
      </c>
      <c r="AA260">
        <v>44189.34</v>
      </c>
      <c r="AB260">
        <v>8634</v>
      </c>
      <c r="AC260">
        <v>87.5</v>
      </c>
      <c r="AD260">
        <v>4.4000000000000004</v>
      </c>
      <c r="AE260">
        <f t="shared" si="34"/>
        <v>0</v>
      </c>
    </row>
    <row r="261" spans="1:31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P261">
        <f t="shared" si="28"/>
        <v>0</v>
      </c>
      <c r="Q261">
        <f t="shared" si="29"/>
        <v>0</v>
      </c>
      <c r="R261">
        <f t="shared" si="30"/>
        <v>1</v>
      </c>
      <c r="T261">
        <f t="shared" si="31"/>
        <v>0</v>
      </c>
      <c r="U261">
        <f t="shared" si="32"/>
        <v>0</v>
      </c>
      <c r="V261">
        <f t="shared" si="33"/>
        <v>0</v>
      </c>
      <c r="AA261">
        <v>38397.82</v>
      </c>
      <c r="AB261">
        <v>7836</v>
      </c>
      <c r="AC261">
        <v>92.2</v>
      </c>
      <c r="AD261">
        <v>3.6</v>
      </c>
      <c r="AE261">
        <f t="shared" si="34"/>
        <v>0</v>
      </c>
    </row>
    <row r="262" spans="1:31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P262">
        <f t="shared" si="28"/>
        <v>0</v>
      </c>
      <c r="Q262">
        <f t="shared" si="29"/>
        <v>0</v>
      </c>
      <c r="R262">
        <f t="shared" si="30"/>
        <v>0</v>
      </c>
      <c r="T262">
        <f t="shared" si="31"/>
        <v>0</v>
      </c>
      <c r="U262">
        <f t="shared" si="32"/>
        <v>1</v>
      </c>
      <c r="V262">
        <f t="shared" si="33"/>
        <v>0</v>
      </c>
      <c r="AA262">
        <v>14519.37</v>
      </c>
      <c r="AB262">
        <v>3047</v>
      </c>
      <c r="AC262">
        <v>90.3</v>
      </c>
      <c r="AD262">
        <v>4.2</v>
      </c>
      <c r="AE262">
        <f t="shared" si="34"/>
        <v>0</v>
      </c>
    </row>
    <row r="263" spans="1:31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4.5990000000000002</v>
      </c>
      <c r="K263">
        <v>0</v>
      </c>
      <c r="L263">
        <v>4.2</v>
      </c>
      <c r="M263">
        <v>605751.32999999996</v>
      </c>
      <c r="N263">
        <v>60685.53</v>
      </c>
      <c r="P263">
        <f t="shared" si="28"/>
        <v>0</v>
      </c>
      <c r="Q263">
        <f t="shared" si="29"/>
        <v>0</v>
      </c>
      <c r="R263">
        <f t="shared" si="30"/>
        <v>0</v>
      </c>
      <c r="T263">
        <f t="shared" si="31"/>
        <v>0</v>
      </c>
      <c r="U263">
        <f t="shared" si="32"/>
        <v>1</v>
      </c>
      <c r="V263">
        <f t="shared" si="33"/>
        <v>0</v>
      </c>
      <c r="AA263">
        <v>43288.2</v>
      </c>
      <c r="AB263">
        <v>4783</v>
      </c>
      <c r="AC263">
        <v>87.3</v>
      </c>
      <c r="AD263">
        <v>4.2</v>
      </c>
      <c r="AE263">
        <f t="shared" si="34"/>
        <v>0</v>
      </c>
    </row>
    <row r="264" spans="1:31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P264">
        <f t="shared" si="28"/>
        <v>0</v>
      </c>
      <c r="Q264">
        <f t="shared" si="29"/>
        <v>0</v>
      </c>
      <c r="R264">
        <f t="shared" si="30"/>
        <v>0</v>
      </c>
      <c r="T264">
        <f t="shared" si="31"/>
        <v>0</v>
      </c>
      <c r="U264">
        <f t="shared" si="32"/>
        <v>1</v>
      </c>
      <c r="V264">
        <f t="shared" si="33"/>
        <v>0</v>
      </c>
      <c r="AA264">
        <v>51450.55</v>
      </c>
      <c r="AB264">
        <v>4902</v>
      </c>
      <c r="AC264">
        <v>83.7</v>
      </c>
      <c r="AD264">
        <v>4.2</v>
      </c>
      <c r="AE264">
        <f t="shared" si="34"/>
        <v>0</v>
      </c>
    </row>
    <row r="265" spans="1:31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P265">
        <f t="shared" si="28"/>
        <v>0</v>
      </c>
      <c r="Q265">
        <f t="shared" si="29"/>
        <v>0</v>
      </c>
      <c r="R265">
        <f t="shared" si="30"/>
        <v>0</v>
      </c>
      <c r="T265">
        <f t="shared" si="31"/>
        <v>0</v>
      </c>
      <c r="U265">
        <f t="shared" si="32"/>
        <v>1</v>
      </c>
      <c r="V265">
        <f t="shared" si="33"/>
        <v>0</v>
      </c>
      <c r="AA265">
        <v>58688.26</v>
      </c>
      <c r="AB265">
        <v>4022</v>
      </c>
      <c r="AC265">
        <v>93.8</v>
      </c>
      <c r="AD265">
        <v>3.7</v>
      </c>
      <c r="AE265">
        <f t="shared" si="34"/>
        <v>0</v>
      </c>
    </row>
    <row r="266" spans="1:31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P266">
        <f t="shared" si="28"/>
        <v>1</v>
      </c>
      <c r="Q266">
        <f t="shared" si="29"/>
        <v>0</v>
      </c>
      <c r="R266">
        <f t="shared" si="30"/>
        <v>0</v>
      </c>
      <c r="T266">
        <f t="shared" si="31"/>
        <v>0</v>
      </c>
      <c r="U266">
        <f t="shared" si="32"/>
        <v>1</v>
      </c>
      <c r="V266">
        <f t="shared" si="33"/>
        <v>0</v>
      </c>
      <c r="AA266">
        <v>58981.91</v>
      </c>
      <c r="AB266">
        <v>7324</v>
      </c>
      <c r="AC266">
        <v>95.8</v>
      </c>
      <c r="AD266">
        <v>3.5</v>
      </c>
      <c r="AE266">
        <f t="shared" si="34"/>
        <v>0</v>
      </c>
    </row>
    <row r="267" spans="1:31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P267">
        <f t="shared" si="28"/>
        <v>1</v>
      </c>
      <c r="Q267">
        <f t="shared" si="29"/>
        <v>0</v>
      </c>
      <c r="R267">
        <f t="shared" si="30"/>
        <v>0</v>
      </c>
      <c r="T267">
        <f t="shared" si="31"/>
        <v>0</v>
      </c>
      <c r="U267">
        <f t="shared" si="32"/>
        <v>1</v>
      </c>
      <c r="V267">
        <f t="shared" si="33"/>
        <v>0</v>
      </c>
      <c r="AA267">
        <v>73454.539999999994</v>
      </c>
      <c r="AB267">
        <v>8129</v>
      </c>
      <c r="AC267">
        <v>85.2</v>
      </c>
      <c r="AD267">
        <v>3.7</v>
      </c>
      <c r="AE267">
        <f t="shared" si="34"/>
        <v>0</v>
      </c>
    </row>
    <row r="268" spans="1:31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P268">
        <f t="shared" si="28"/>
        <v>1</v>
      </c>
      <c r="Q268">
        <f t="shared" si="29"/>
        <v>0</v>
      </c>
      <c r="R268">
        <f t="shared" si="30"/>
        <v>0</v>
      </c>
      <c r="T268">
        <f t="shared" si="31"/>
        <v>0</v>
      </c>
      <c r="U268">
        <f t="shared" si="32"/>
        <v>1</v>
      </c>
      <c r="V268">
        <f t="shared" si="33"/>
        <v>0</v>
      </c>
      <c r="AA268">
        <v>56602.39</v>
      </c>
      <c r="AB268">
        <v>7969</v>
      </c>
      <c r="AC268">
        <v>88.3</v>
      </c>
      <c r="AD268">
        <v>3.7</v>
      </c>
      <c r="AE268">
        <f t="shared" si="34"/>
        <v>0</v>
      </c>
    </row>
    <row r="269" spans="1:31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P269">
        <f t="shared" si="28"/>
        <v>1</v>
      </c>
      <c r="Q269">
        <f t="shared" si="29"/>
        <v>0</v>
      </c>
      <c r="R269">
        <f t="shared" si="30"/>
        <v>0</v>
      </c>
      <c r="T269">
        <f t="shared" si="31"/>
        <v>0</v>
      </c>
      <c r="U269">
        <f t="shared" si="32"/>
        <v>1</v>
      </c>
      <c r="V269">
        <f t="shared" si="33"/>
        <v>0</v>
      </c>
      <c r="AA269">
        <v>67722.289999999994</v>
      </c>
      <c r="AB269">
        <v>7240</v>
      </c>
      <c r="AC269">
        <v>92.9</v>
      </c>
      <c r="AD269">
        <v>3.5</v>
      </c>
      <c r="AE269">
        <f t="shared" si="34"/>
        <v>0</v>
      </c>
    </row>
    <row r="270" spans="1:31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P270">
        <f t="shared" si="28"/>
        <v>1</v>
      </c>
      <c r="Q270">
        <f t="shared" si="29"/>
        <v>0</v>
      </c>
      <c r="R270">
        <f t="shared" si="30"/>
        <v>0</v>
      </c>
      <c r="T270">
        <f t="shared" si="31"/>
        <v>0</v>
      </c>
      <c r="U270">
        <f t="shared" si="32"/>
        <v>0</v>
      </c>
      <c r="V270">
        <f t="shared" si="33"/>
        <v>0</v>
      </c>
      <c r="AA270">
        <v>48752.92</v>
      </c>
      <c r="AB270">
        <v>8052</v>
      </c>
      <c r="AC270">
        <v>94.9</v>
      </c>
      <c r="AD270">
        <v>3.6</v>
      </c>
      <c r="AE270">
        <f t="shared" si="34"/>
        <v>0</v>
      </c>
    </row>
    <row r="271" spans="1:31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P271">
        <f t="shared" si="28"/>
        <v>1</v>
      </c>
      <c r="Q271">
        <f t="shared" si="29"/>
        <v>0</v>
      </c>
      <c r="R271">
        <f t="shared" si="30"/>
        <v>0</v>
      </c>
      <c r="T271">
        <f t="shared" si="31"/>
        <v>0</v>
      </c>
      <c r="U271">
        <f t="shared" si="32"/>
        <v>0</v>
      </c>
      <c r="V271">
        <f t="shared" si="33"/>
        <v>0</v>
      </c>
      <c r="AA271">
        <v>23914.97</v>
      </c>
      <c r="AB271">
        <v>8018</v>
      </c>
      <c r="AC271">
        <v>89</v>
      </c>
      <c r="AD271">
        <v>3.5</v>
      </c>
      <c r="AE271">
        <f t="shared" si="34"/>
        <v>0</v>
      </c>
    </row>
    <row r="272" spans="1:31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P272">
        <f t="shared" si="28"/>
        <v>1</v>
      </c>
      <c r="Q272">
        <f t="shared" si="29"/>
        <v>0</v>
      </c>
      <c r="R272">
        <f t="shared" si="30"/>
        <v>0</v>
      </c>
      <c r="T272">
        <f t="shared" si="31"/>
        <v>0</v>
      </c>
      <c r="U272">
        <f t="shared" si="32"/>
        <v>0</v>
      </c>
      <c r="V272">
        <f t="shared" si="33"/>
        <v>0</v>
      </c>
      <c r="AA272">
        <v>61995.3</v>
      </c>
      <c r="AB272">
        <v>10192</v>
      </c>
      <c r="AC272">
        <v>87.6</v>
      </c>
      <c r="AD272">
        <v>3.8</v>
      </c>
      <c r="AE272">
        <f t="shared" si="34"/>
        <v>0</v>
      </c>
    </row>
    <row r="273" spans="1:31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P273">
        <f t="shared" si="28"/>
        <v>1</v>
      </c>
      <c r="Q273">
        <f t="shared" si="29"/>
        <v>0</v>
      </c>
      <c r="R273">
        <f t="shared" si="30"/>
        <v>0</v>
      </c>
      <c r="T273">
        <f t="shared" si="31"/>
        <v>0</v>
      </c>
      <c r="U273">
        <f t="shared" si="32"/>
        <v>0</v>
      </c>
      <c r="V273">
        <f t="shared" si="33"/>
        <v>0</v>
      </c>
      <c r="AA273">
        <v>29344.93</v>
      </c>
      <c r="AB273">
        <v>7446</v>
      </c>
      <c r="AC273">
        <v>86.2</v>
      </c>
      <c r="AD273">
        <v>3.2</v>
      </c>
      <c r="AE273">
        <f t="shared" si="34"/>
        <v>0</v>
      </c>
    </row>
    <row r="274" spans="1:31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P274">
        <f t="shared" si="28"/>
        <v>0</v>
      </c>
      <c r="Q274">
        <f t="shared" si="29"/>
        <v>0</v>
      </c>
      <c r="R274">
        <f t="shared" si="30"/>
        <v>0</v>
      </c>
      <c r="T274">
        <f t="shared" si="31"/>
        <v>0</v>
      </c>
      <c r="U274">
        <f t="shared" si="32"/>
        <v>1</v>
      </c>
      <c r="V274">
        <f t="shared" si="33"/>
        <v>0</v>
      </c>
      <c r="AA274">
        <v>50532.17</v>
      </c>
      <c r="AB274">
        <v>5689</v>
      </c>
      <c r="AC274">
        <v>85.6</v>
      </c>
      <c r="AD274">
        <v>3.3</v>
      </c>
      <c r="AE274">
        <f t="shared" si="34"/>
        <v>0</v>
      </c>
    </row>
    <row r="275" spans="1:31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P275">
        <f t="shared" si="28"/>
        <v>0</v>
      </c>
      <c r="Q275">
        <f t="shared" si="29"/>
        <v>0</v>
      </c>
      <c r="R275">
        <f t="shared" si="30"/>
        <v>0</v>
      </c>
      <c r="T275">
        <f t="shared" si="31"/>
        <v>0</v>
      </c>
      <c r="U275">
        <f t="shared" si="32"/>
        <v>1</v>
      </c>
      <c r="V275">
        <f t="shared" si="33"/>
        <v>0</v>
      </c>
      <c r="AA275">
        <v>17562.57</v>
      </c>
      <c r="AB275">
        <v>3326</v>
      </c>
      <c r="AC275">
        <v>88.1</v>
      </c>
      <c r="AD275">
        <v>3.1</v>
      </c>
      <c r="AE275">
        <f t="shared" si="34"/>
        <v>0</v>
      </c>
    </row>
    <row r="276" spans="1:31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P276">
        <f t="shared" si="28"/>
        <v>0</v>
      </c>
      <c r="Q276">
        <f t="shared" si="29"/>
        <v>0</v>
      </c>
      <c r="R276">
        <f t="shared" si="30"/>
        <v>0</v>
      </c>
      <c r="T276">
        <f t="shared" si="31"/>
        <v>0</v>
      </c>
      <c r="U276">
        <f t="shared" si="32"/>
        <v>1</v>
      </c>
      <c r="V276">
        <f t="shared" si="33"/>
        <v>0</v>
      </c>
      <c r="AA276">
        <v>47648.71</v>
      </c>
      <c r="AB276">
        <v>5767</v>
      </c>
      <c r="AC276">
        <v>89.8</v>
      </c>
      <c r="AD276">
        <v>3.1</v>
      </c>
      <c r="AE276">
        <f t="shared" si="34"/>
        <v>0</v>
      </c>
    </row>
    <row r="277" spans="1:31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P277">
        <f t="shared" si="28"/>
        <v>0</v>
      </c>
      <c r="Q277">
        <f t="shared" si="29"/>
        <v>0</v>
      </c>
      <c r="R277">
        <f t="shared" si="30"/>
        <v>0</v>
      </c>
      <c r="T277">
        <f t="shared" si="31"/>
        <v>0</v>
      </c>
      <c r="U277">
        <f t="shared" si="32"/>
        <v>1</v>
      </c>
      <c r="V277">
        <f t="shared" si="33"/>
        <v>0</v>
      </c>
      <c r="AA277">
        <v>38297.58</v>
      </c>
      <c r="AB277">
        <v>5893</v>
      </c>
      <c r="AC277">
        <v>77.599999999999994</v>
      </c>
      <c r="AD277">
        <v>3</v>
      </c>
      <c r="AE277">
        <f t="shared" si="34"/>
        <v>0</v>
      </c>
    </row>
    <row r="278" spans="1:31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P278">
        <f t="shared" si="28"/>
        <v>0</v>
      </c>
      <c r="Q278">
        <f t="shared" si="29"/>
        <v>0</v>
      </c>
      <c r="R278">
        <f t="shared" si="30"/>
        <v>1</v>
      </c>
      <c r="T278">
        <f t="shared" si="31"/>
        <v>1</v>
      </c>
      <c r="U278">
        <f t="shared" si="32"/>
        <v>0</v>
      </c>
      <c r="V278">
        <f t="shared" si="33"/>
        <v>0</v>
      </c>
      <c r="AA278">
        <v>61784.11</v>
      </c>
      <c r="AB278">
        <v>8564</v>
      </c>
      <c r="AC278">
        <v>87.4</v>
      </c>
      <c r="AD278">
        <v>3.4</v>
      </c>
      <c r="AE278">
        <f t="shared" si="34"/>
        <v>0</v>
      </c>
    </row>
    <row r="279" spans="1:31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P279">
        <f t="shared" si="28"/>
        <v>0</v>
      </c>
      <c r="Q279">
        <f t="shared" si="29"/>
        <v>0</v>
      </c>
      <c r="R279">
        <f t="shared" si="30"/>
        <v>1</v>
      </c>
      <c r="T279">
        <f t="shared" si="31"/>
        <v>1</v>
      </c>
      <c r="U279">
        <f t="shared" si="32"/>
        <v>0</v>
      </c>
      <c r="V279">
        <f t="shared" si="33"/>
        <v>0</v>
      </c>
      <c r="AA279">
        <v>36832.33</v>
      </c>
      <c r="AB279">
        <v>8001</v>
      </c>
      <c r="AC279">
        <v>88.7</v>
      </c>
      <c r="AD279">
        <v>4</v>
      </c>
      <c r="AE279">
        <f t="shared" si="34"/>
        <v>0</v>
      </c>
    </row>
    <row r="280" spans="1:31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P280">
        <f t="shared" si="28"/>
        <v>0</v>
      </c>
      <c r="Q280">
        <f t="shared" si="29"/>
        <v>0</v>
      </c>
      <c r="R280">
        <f t="shared" si="30"/>
        <v>1</v>
      </c>
      <c r="T280">
        <f t="shared" si="31"/>
        <v>1</v>
      </c>
      <c r="U280">
        <f t="shared" si="32"/>
        <v>0</v>
      </c>
      <c r="V280">
        <f t="shared" si="33"/>
        <v>0</v>
      </c>
      <c r="AA280">
        <v>48609.41</v>
      </c>
      <c r="AB280">
        <v>9324</v>
      </c>
      <c r="AC280">
        <v>86.5</v>
      </c>
      <c r="AD280">
        <v>3.9</v>
      </c>
      <c r="AE280">
        <f t="shared" si="34"/>
        <v>0</v>
      </c>
    </row>
    <row r="281" spans="1:31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P281">
        <f t="shared" si="28"/>
        <v>0</v>
      </c>
      <c r="Q281">
        <f t="shared" si="29"/>
        <v>0</v>
      </c>
      <c r="R281">
        <f t="shared" si="30"/>
        <v>1</v>
      </c>
      <c r="T281">
        <f t="shared" si="31"/>
        <v>1</v>
      </c>
      <c r="U281">
        <f t="shared" si="32"/>
        <v>0</v>
      </c>
      <c r="V281">
        <f t="shared" si="33"/>
        <v>0</v>
      </c>
      <c r="AA281">
        <v>70284.06</v>
      </c>
      <c r="AB281">
        <v>9109</v>
      </c>
      <c r="AC281">
        <v>87</v>
      </c>
      <c r="AD281">
        <v>3.7</v>
      </c>
      <c r="AE281">
        <f t="shared" si="34"/>
        <v>0</v>
      </c>
    </row>
    <row r="282" spans="1:31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P282">
        <f t="shared" si="28"/>
        <v>0</v>
      </c>
      <c r="Q282">
        <f t="shared" si="29"/>
        <v>0</v>
      </c>
      <c r="R282">
        <f t="shared" si="30"/>
        <v>1</v>
      </c>
      <c r="T282">
        <f t="shared" si="31"/>
        <v>0</v>
      </c>
      <c r="U282">
        <f t="shared" si="32"/>
        <v>1</v>
      </c>
      <c r="V282">
        <f t="shared" si="33"/>
        <v>0</v>
      </c>
      <c r="AA282">
        <v>45940.39</v>
      </c>
      <c r="AB282">
        <v>4022</v>
      </c>
      <c r="AC282">
        <v>83</v>
      </c>
      <c r="AD282">
        <v>3.8</v>
      </c>
      <c r="AE282">
        <f t="shared" si="34"/>
        <v>0</v>
      </c>
    </row>
    <row r="283" spans="1:31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P283">
        <f t="shared" si="28"/>
        <v>0</v>
      </c>
      <c r="Q283">
        <f t="shared" si="29"/>
        <v>0</v>
      </c>
      <c r="R283">
        <f t="shared" si="30"/>
        <v>1</v>
      </c>
      <c r="T283">
        <f t="shared" si="31"/>
        <v>0</v>
      </c>
      <c r="U283">
        <f t="shared" si="32"/>
        <v>1</v>
      </c>
      <c r="V283">
        <f t="shared" si="33"/>
        <v>0</v>
      </c>
      <c r="AA283">
        <v>34771.26</v>
      </c>
      <c r="AB283">
        <v>4355</v>
      </c>
      <c r="AC283">
        <v>87.9</v>
      </c>
      <c r="AD283">
        <v>4</v>
      </c>
      <c r="AE283">
        <f t="shared" si="34"/>
        <v>0</v>
      </c>
    </row>
    <row r="284" spans="1:31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P284">
        <f t="shared" si="28"/>
        <v>0</v>
      </c>
      <c r="Q284">
        <f t="shared" si="29"/>
        <v>0</v>
      </c>
      <c r="R284">
        <f t="shared" si="30"/>
        <v>1</v>
      </c>
      <c r="T284">
        <f t="shared" si="31"/>
        <v>0</v>
      </c>
      <c r="U284">
        <f t="shared" si="32"/>
        <v>1</v>
      </c>
      <c r="V284">
        <f t="shared" si="33"/>
        <v>0</v>
      </c>
      <c r="AA284">
        <v>66104.19</v>
      </c>
      <c r="AB284">
        <v>5745</v>
      </c>
      <c r="AC284">
        <v>95.8</v>
      </c>
      <c r="AD284">
        <v>4</v>
      </c>
      <c r="AE284">
        <f t="shared" si="34"/>
        <v>0</v>
      </c>
    </row>
    <row r="285" spans="1:31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P285">
        <f t="shared" si="28"/>
        <v>0</v>
      </c>
      <c r="Q285">
        <f t="shared" si="29"/>
        <v>0</v>
      </c>
      <c r="R285">
        <f t="shared" si="30"/>
        <v>1</v>
      </c>
      <c r="T285">
        <f t="shared" si="31"/>
        <v>0</v>
      </c>
      <c r="U285">
        <f t="shared" si="32"/>
        <v>1</v>
      </c>
      <c r="V285">
        <f t="shared" si="33"/>
        <v>0</v>
      </c>
      <c r="AA285">
        <v>18599.21</v>
      </c>
      <c r="AB285">
        <v>3027</v>
      </c>
      <c r="AC285">
        <v>80.900000000000006</v>
      </c>
      <c r="AD285">
        <v>4.2</v>
      </c>
      <c r="AE285">
        <f t="shared" si="34"/>
        <v>0</v>
      </c>
    </row>
    <row r="286" spans="1:31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P286">
        <f t="shared" si="28"/>
        <v>0</v>
      </c>
      <c r="Q286">
        <f t="shared" si="29"/>
        <v>0</v>
      </c>
      <c r="R286">
        <f t="shared" si="30"/>
        <v>0</v>
      </c>
      <c r="T286">
        <f t="shared" si="31"/>
        <v>1</v>
      </c>
      <c r="U286">
        <f t="shared" si="32"/>
        <v>0</v>
      </c>
      <c r="V286">
        <f t="shared" si="33"/>
        <v>0</v>
      </c>
      <c r="AA286">
        <v>60183.06</v>
      </c>
      <c r="AB286">
        <v>5562</v>
      </c>
      <c r="AC286">
        <v>86.3</v>
      </c>
      <c r="AD286">
        <v>4.5</v>
      </c>
      <c r="AE286">
        <f t="shared" si="34"/>
        <v>0</v>
      </c>
    </row>
    <row r="287" spans="1:31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P287">
        <f t="shared" si="28"/>
        <v>0</v>
      </c>
      <c r="Q287">
        <f t="shared" si="29"/>
        <v>0</v>
      </c>
      <c r="R287">
        <f t="shared" si="30"/>
        <v>0</v>
      </c>
      <c r="T287">
        <f t="shared" si="31"/>
        <v>1</v>
      </c>
      <c r="U287">
        <f t="shared" si="32"/>
        <v>0</v>
      </c>
      <c r="V287">
        <f t="shared" si="33"/>
        <v>0</v>
      </c>
      <c r="AA287">
        <v>74539.14</v>
      </c>
      <c r="AB287">
        <v>4487</v>
      </c>
      <c r="AC287">
        <v>90.4</v>
      </c>
      <c r="AD287">
        <v>4.5</v>
      </c>
      <c r="AE287">
        <f t="shared" si="34"/>
        <v>0</v>
      </c>
    </row>
    <row r="288" spans="1:31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P288">
        <f t="shared" si="28"/>
        <v>0</v>
      </c>
      <c r="Q288">
        <f t="shared" si="29"/>
        <v>0</v>
      </c>
      <c r="R288">
        <f t="shared" si="30"/>
        <v>0</v>
      </c>
      <c r="T288">
        <f t="shared" si="31"/>
        <v>1</v>
      </c>
      <c r="U288">
        <f t="shared" si="32"/>
        <v>0</v>
      </c>
      <c r="V288">
        <f t="shared" si="33"/>
        <v>0</v>
      </c>
      <c r="AA288">
        <v>55371.97</v>
      </c>
      <c r="AB288">
        <v>4162</v>
      </c>
      <c r="AC288">
        <v>92</v>
      </c>
      <c r="AD288">
        <v>4.2</v>
      </c>
      <c r="AE288">
        <f t="shared" si="34"/>
        <v>0</v>
      </c>
    </row>
    <row r="289" spans="1:31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P289">
        <f t="shared" si="28"/>
        <v>0</v>
      </c>
      <c r="Q289">
        <f t="shared" si="29"/>
        <v>0</v>
      </c>
      <c r="R289">
        <f t="shared" si="30"/>
        <v>0</v>
      </c>
      <c r="T289">
        <f t="shared" si="31"/>
        <v>1</v>
      </c>
      <c r="U289">
        <f t="shared" si="32"/>
        <v>0</v>
      </c>
      <c r="V289">
        <f t="shared" si="33"/>
        <v>0</v>
      </c>
      <c r="AA289">
        <v>40928.69</v>
      </c>
      <c r="AB289">
        <v>4094</v>
      </c>
      <c r="AC289">
        <v>82.4</v>
      </c>
      <c r="AD289">
        <v>4.8</v>
      </c>
      <c r="AE289">
        <f t="shared" si="34"/>
        <v>0</v>
      </c>
    </row>
    <row r="290" spans="1:31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P290">
        <f t="shared" si="28"/>
        <v>1</v>
      </c>
      <c r="Q290">
        <f t="shared" si="29"/>
        <v>0</v>
      </c>
      <c r="R290">
        <f t="shared" si="30"/>
        <v>0</v>
      </c>
      <c r="T290">
        <f t="shared" si="31"/>
        <v>1</v>
      </c>
      <c r="U290">
        <f t="shared" si="32"/>
        <v>0</v>
      </c>
      <c r="V290">
        <f t="shared" si="33"/>
        <v>0</v>
      </c>
      <c r="AA290">
        <v>70012.41</v>
      </c>
      <c r="AB290">
        <v>8484</v>
      </c>
      <c r="AC290">
        <v>72.900000000000006</v>
      </c>
      <c r="AD290">
        <v>3.7</v>
      </c>
      <c r="AE290">
        <f t="shared" si="34"/>
        <v>0</v>
      </c>
    </row>
    <row r="291" spans="1:31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P291">
        <f t="shared" si="28"/>
        <v>1</v>
      </c>
      <c r="Q291">
        <f t="shared" si="29"/>
        <v>0</v>
      </c>
      <c r="R291">
        <f t="shared" si="30"/>
        <v>0</v>
      </c>
      <c r="T291">
        <f t="shared" si="31"/>
        <v>1</v>
      </c>
      <c r="U291">
        <f t="shared" si="32"/>
        <v>0</v>
      </c>
      <c r="V291">
        <f t="shared" si="33"/>
        <v>0</v>
      </c>
      <c r="AA291">
        <v>68909.259999999995</v>
      </c>
      <c r="AB291">
        <v>7794</v>
      </c>
      <c r="AC291">
        <v>89</v>
      </c>
      <c r="AD291">
        <v>4</v>
      </c>
      <c r="AE291">
        <f t="shared" si="34"/>
        <v>0</v>
      </c>
    </row>
    <row r="292" spans="1:31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P292">
        <f t="shared" si="28"/>
        <v>1</v>
      </c>
      <c r="Q292">
        <f t="shared" si="29"/>
        <v>0</v>
      </c>
      <c r="R292">
        <f t="shared" si="30"/>
        <v>0</v>
      </c>
      <c r="T292">
        <f t="shared" si="31"/>
        <v>1</v>
      </c>
      <c r="U292">
        <f t="shared" si="32"/>
        <v>0</v>
      </c>
      <c r="V292">
        <f t="shared" si="33"/>
        <v>0</v>
      </c>
      <c r="AA292">
        <v>56737.3</v>
      </c>
      <c r="AB292">
        <v>8300</v>
      </c>
      <c r="AC292">
        <v>83.2</v>
      </c>
      <c r="AD292">
        <v>4.3</v>
      </c>
      <c r="AE292">
        <f t="shared" si="34"/>
        <v>0</v>
      </c>
    </row>
    <row r="293" spans="1:31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P293">
        <f t="shared" si="28"/>
        <v>1</v>
      </c>
      <c r="Q293">
        <f t="shared" si="29"/>
        <v>0</v>
      </c>
      <c r="R293">
        <f t="shared" si="30"/>
        <v>0</v>
      </c>
      <c r="T293">
        <f t="shared" si="31"/>
        <v>1</v>
      </c>
      <c r="U293">
        <f t="shared" si="32"/>
        <v>0</v>
      </c>
      <c r="V293">
        <f t="shared" si="33"/>
        <v>0</v>
      </c>
      <c r="AA293">
        <v>54080.91</v>
      </c>
      <c r="AB293">
        <v>7083</v>
      </c>
      <c r="AC293">
        <v>97</v>
      </c>
      <c r="AD293">
        <v>4.0999999999999996</v>
      </c>
      <c r="AE293">
        <f t="shared" si="34"/>
        <v>0</v>
      </c>
    </row>
    <row r="294" spans="1:31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P294">
        <f t="shared" si="28"/>
        <v>0</v>
      </c>
      <c r="Q294">
        <f t="shared" si="29"/>
        <v>0</v>
      </c>
      <c r="R294">
        <f t="shared" si="30"/>
        <v>0</v>
      </c>
      <c r="T294">
        <f t="shared" si="31"/>
        <v>0</v>
      </c>
      <c r="U294">
        <f t="shared" si="32"/>
        <v>1</v>
      </c>
      <c r="V294">
        <f t="shared" si="33"/>
        <v>0</v>
      </c>
      <c r="AA294">
        <v>51996.32</v>
      </c>
      <c r="AB294">
        <v>3834</v>
      </c>
      <c r="AC294">
        <v>86.7</v>
      </c>
      <c r="AD294">
        <v>4.5</v>
      </c>
      <c r="AE294">
        <f t="shared" si="34"/>
        <v>0</v>
      </c>
    </row>
    <row r="295" spans="1:31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P295">
        <f t="shared" si="28"/>
        <v>0</v>
      </c>
      <c r="Q295">
        <f t="shared" si="29"/>
        <v>0</v>
      </c>
      <c r="R295">
        <f t="shared" si="30"/>
        <v>0</v>
      </c>
      <c r="T295">
        <f t="shared" si="31"/>
        <v>0</v>
      </c>
      <c r="U295">
        <f t="shared" si="32"/>
        <v>1</v>
      </c>
      <c r="V295">
        <f t="shared" si="33"/>
        <v>0</v>
      </c>
      <c r="AA295">
        <v>40102.879999999997</v>
      </c>
      <c r="AB295">
        <v>2358</v>
      </c>
      <c r="AC295">
        <v>88.7</v>
      </c>
      <c r="AD295">
        <v>4.2</v>
      </c>
      <c r="AE295">
        <f t="shared" si="34"/>
        <v>0</v>
      </c>
    </row>
    <row r="296" spans="1:31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P296">
        <f t="shared" si="28"/>
        <v>0</v>
      </c>
      <c r="Q296">
        <f t="shared" si="29"/>
        <v>0</v>
      </c>
      <c r="R296">
        <f t="shared" si="30"/>
        <v>0</v>
      </c>
      <c r="T296">
        <f t="shared" si="31"/>
        <v>0</v>
      </c>
      <c r="U296">
        <f t="shared" si="32"/>
        <v>1</v>
      </c>
      <c r="V296">
        <f t="shared" si="33"/>
        <v>0</v>
      </c>
      <c r="AA296">
        <v>59825.51</v>
      </c>
      <c r="AB296">
        <v>1231</v>
      </c>
      <c r="AC296">
        <v>84.8</v>
      </c>
      <c r="AD296">
        <v>4.7</v>
      </c>
      <c r="AE296">
        <f t="shared" si="34"/>
        <v>0</v>
      </c>
    </row>
    <row r="297" spans="1:31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P297">
        <f t="shared" si="28"/>
        <v>0</v>
      </c>
      <c r="Q297">
        <f t="shared" si="29"/>
        <v>0</v>
      </c>
      <c r="R297">
        <f t="shared" si="30"/>
        <v>0</v>
      </c>
      <c r="T297">
        <f t="shared" si="31"/>
        <v>0</v>
      </c>
      <c r="U297">
        <f t="shared" si="32"/>
        <v>1</v>
      </c>
      <c r="V297">
        <f t="shared" si="33"/>
        <v>0</v>
      </c>
      <c r="AA297">
        <v>27398.28</v>
      </c>
      <c r="AB297">
        <v>1723</v>
      </c>
      <c r="AC297">
        <v>81</v>
      </c>
      <c r="AD297">
        <v>4.5999999999999996</v>
      </c>
      <c r="AE297">
        <f t="shared" si="34"/>
        <v>0</v>
      </c>
    </row>
    <row r="298" spans="1:31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P298">
        <f t="shared" si="28"/>
        <v>0</v>
      </c>
      <c r="Q298">
        <f t="shared" si="29"/>
        <v>0</v>
      </c>
      <c r="R298">
        <f t="shared" si="30"/>
        <v>0</v>
      </c>
      <c r="T298">
        <f t="shared" si="31"/>
        <v>0</v>
      </c>
      <c r="U298">
        <f t="shared" si="32"/>
        <v>1</v>
      </c>
      <c r="V298">
        <f t="shared" si="33"/>
        <v>0</v>
      </c>
      <c r="AA298">
        <v>55599.56</v>
      </c>
      <c r="AB298">
        <v>5896</v>
      </c>
      <c r="AC298">
        <v>93.1</v>
      </c>
      <c r="AD298">
        <v>3.3</v>
      </c>
      <c r="AE298">
        <f t="shared" si="34"/>
        <v>0</v>
      </c>
    </row>
    <row r="299" spans="1:31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P299">
        <f t="shared" si="28"/>
        <v>0</v>
      </c>
      <c r="Q299">
        <f t="shared" si="29"/>
        <v>0</v>
      </c>
      <c r="R299">
        <f t="shared" si="30"/>
        <v>0</v>
      </c>
      <c r="T299">
        <f t="shared" si="31"/>
        <v>0</v>
      </c>
      <c r="U299">
        <f t="shared" si="32"/>
        <v>1</v>
      </c>
      <c r="V299">
        <f t="shared" si="33"/>
        <v>0</v>
      </c>
      <c r="AA299">
        <v>55477.61</v>
      </c>
      <c r="AB299">
        <v>5903</v>
      </c>
      <c r="AC299">
        <v>96.2</v>
      </c>
      <c r="AD299">
        <v>3.3</v>
      </c>
      <c r="AE299">
        <f t="shared" si="34"/>
        <v>0</v>
      </c>
    </row>
    <row r="300" spans="1:31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P300">
        <f t="shared" si="28"/>
        <v>0</v>
      </c>
      <c r="Q300">
        <f t="shared" si="29"/>
        <v>0</v>
      </c>
      <c r="R300">
        <f t="shared" si="30"/>
        <v>0</v>
      </c>
      <c r="T300">
        <f t="shared" si="31"/>
        <v>0</v>
      </c>
      <c r="U300">
        <f t="shared" si="32"/>
        <v>1</v>
      </c>
      <c r="V300">
        <f t="shared" si="33"/>
        <v>0</v>
      </c>
      <c r="AA300">
        <v>46174.7</v>
      </c>
      <c r="AB300">
        <v>4898</v>
      </c>
      <c r="AC300">
        <v>91.7</v>
      </c>
      <c r="AD300">
        <v>3.1</v>
      </c>
      <c r="AE300">
        <f t="shared" si="34"/>
        <v>0</v>
      </c>
    </row>
    <row r="301" spans="1:31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P301">
        <f t="shared" si="28"/>
        <v>0</v>
      </c>
      <c r="Q301">
        <f t="shared" si="29"/>
        <v>0</v>
      </c>
      <c r="R301">
        <f t="shared" si="30"/>
        <v>0</v>
      </c>
      <c r="T301">
        <f t="shared" si="31"/>
        <v>0</v>
      </c>
      <c r="U301">
        <f t="shared" si="32"/>
        <v>1</v>
      </c>
      <c r="V301">
        <f t="shared" si="33"/>
        <v>0</v>
      </c>
      <c r="AA301">
        <v>24362.98</v>
      </c>
      <c r="AB301">
        <v>1462</v>
      </c>
      <c r="AC301">
        <v>89.3</v>
      </c>
      <c r="AD301">
        <v>3.2</v>
      </c>
      <c r="AE301">
        <f t="shared" si="34"/>
        <v>0</v>
      </c>
    </row>
    <row r="302" spans="1:31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P302">
        <f t="shared" si="28"/>
        <v>0</v>
      </c>
      <c r="Q302">
        <f t="shared" si="29"/>
        <v>1</v>
      </c>
      <c r="R302">
        <f t="shared" si="30"/>
        <v>0</v>
      </c>
      <c r="T302">
        <f t="shared" si="31"/>
        <v>0</v>
      </c>
      <c r="U302">
        <f t="shared" si="32"/>
        <v>0</v>
      </c>
      <c r="V302">
        <f t="shared" si="33"/>
        <v>0</v>
      </c>
      <c r="AA302">
        <v>40647.67</v>
      </c>
      <c r="AB302">
        <v>8252</v>
      </c>
      <c r="AC302">
        <v>88.2</v>
      </c>
      <c r="AD302">
        <v>4.0999999999999996</v>
      </c>
      <c r="AE302">
        <f t="shared" si="34"/>
        <v>0</v>
      </c>
    </row>
    <row r="303" spans="1:31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P303">
        <f t="shared" si="28"/>
        <v>0</v>
      </c>
      <c r="Q303">
        <f t="shared" si="29"/>
        <v>1</v>
      </c>
      <c r="R303">
        <f t="shared" si="30"/>
        <v>0</v>
      </c>
      <c r="T303">
        <f t="shared" si="31"/>
        <v>0</v>
      </c>
      <c r="U303">
        <f t="shared" si="32"/>
        <v>0</v>
      </c>
      <c r="V303">
        <f t="shared" si="33"/>
        <v>0</v>
      </c>
      <c r="AA303">
        <v>63986.98</v>
      </c>
      <c r="AB303">
        <v>7989</v>
      </c>
      <c r="AC303">
        <v>83.3</v>
      </c>
      <c r="AD303">
        <v>3.7</v>
      </c>
      <c r="AE303">
        <f t="shared" si="34"/>
        <v>0</v>
      </c>
    </row>
    <row r="304" spans="1:31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P304">
        <f t="shared" si="28"/>
        <v>0</v>
      </c>
      <c r="Q304">
        <f t="shared" si="29"/>
        <v>1</v>
      </c>
      <c r="R304">
        <f t="shared" si="30"/>
        <v>0</v>
      </c>
      <c r="T304">
        <f t="shared" si="31"/>
        <v>0</v>
      </c>
      <c r="U304">
        <f t="shared" si="32"/>
        <v>0</v>
      </c>
      <c r="V304">
        <f t="shared" si="33"/>
        <v>0</v>
      </c>
      <c r="AA304">
        <v>52843.75</v>
      </c>
      <c r="AB304">
        <v>8268</v>
      </c>
      <c r="AC304">
        <v>87.3</v>
      </c>
      <c r="AD304">
        <v>4.7</v>
      </c>
      <c r="AE304">
        <f t="shared" si="34"/>
        <v>0</v>
      </c>
    </row>
    <row r="305" spans="1:31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P305">
        <f t="shared" si="28"/>
        <v>0</v>
      </c>
      <c r="Q305">
        <f t="shared" si="29"/>
        <v>1</v>
      </c>
      <c r="R305">
        <f t="shared" si="30"/>
        <v>0</v>
      </c>
      <c r="T305">
        <f t="shared" si="31"/>
        <v>0</v>
      </c>
      <c r="U305">
        <f t="shared" si="32"/>
        <v>0</v>
      </c>
      <c r="V305">
        <f t="shared" si="33"/>
        <v>0</v>
      </c>
      <c r="AA305">
        <v>31997.25</v>
      </c>
      <c r="AB305">
        <v>8183</v>
      </c>
      <c r="AC305">
        <v>93</v>
      </c>
      <c r="AD305">
        <v>4.2</v>
      </c>
      <c r="AE305">
        <f t="shared" si="34"/>
        <v>0</v>
      </c>
    </row>
    <row r="306" spans="1:31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P306">
        <f t="shared" si="28"/>
        <v>0</v>
      </c>
      <c r="Q306">
        <f t="shared" si="29"/>
        <v>0</v>
      </c>
      <c r="R306">
        <f t="shared" si="30"/>
        <v>1</v>
      </c>
      <c r="T306">
        <f t="shared" si="31"/>
        <v>1</v>
      </c>
      <c r="U306">
        <f t="shared" si="32"/>
        <v>0</v>
      </c>
      <c r="V306">
        <f t="shared" si="33"/>
        <v>0</v>
      </c>
      <c r="AA306">
        <v>54948.02</v>
      </c>
      <c r="AB306">
        <v>6534</v>
      </c>
      <c r="AC306">
        <v>94.5</v>
      </c>
      <c r="AD306">
        <v>4</v>
      </c>
      <c r="AE306">
        <f t="shared" si="34"/>
        <v>0</v>
      </c>
    </row>
    <row r="307" spans="1:31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P307">
        <f t="shared" si="28"/>
        <v>0</v>
      </c>
      <c r="Q307">
        <f t="shared" si="29"/>
        <v>0</v>
      </c>
      <c r="R307">
        <f t="shared" si="30"/>
        <v>1</v>
      </c>
      <c r="T307">
        <f t="shared" si="31"/>
        <v>1</v>
      </c>
      <c r="U307">
        <f t="shared" si="32"/>
        <v>0</v>
      </c>
      <c r="V307">
        <f t="shared" si="33"/>
        <v>0</v>
      </c>
      <c r="AA307">
        <v>46146.239999999998</v>
      </c>
      <c r="AB307">
        <v>5804</v>
      </c>
      <c r="AC307">
        <v>86.9</v>
      </c>
      <c r="AD307">
        <v>3.8</v>
      </c>
      <c r="AE307">
        <f t="shared" si="34"/>
        <v>0</v>
      </c>
    </row>
    <row r="308" spans="1:31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P308">
        <f t="shared" si="28"/>
        <v>0</v>
      </c>
      <c r="Q308">
        <f t="shared" si="29"/>
        <v>0</v>
      </c>
      <c r="R308">
        <f t="shared" si="30"/>
        <v>1</v>
      </c>
      <c r="T308">
        <f t="shared" si="31"/>
        <v>1</v>
      </c>
      <c r="U308">
        <f t="shared" si="32"/>
        <v>0</v>
      </c>
      <c r="V308">
        <f t="shared" si="33"/>
        <v>0</v>
      </c>
      <c r="AA308">
        <v>22387.26</v>
      </c>
      <c r="AB308">
        <v>6301</v>
      </c>
      <c r="AC308">
        <v>85.9</v>
      </c>
      <c r="AD308">
        <v>3.7</v>
      </c>
      <c r="AE308">
        <f t="shared" si="34"/>
        <v>0</v>
      </c>
    </row>
    <row r="309" spans="1:31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P309">
        <f t="shared" si="28"/>
        <v>0</v>
      </c>
      <c r="Q309">
        <f t="shared" si="29"/>
        <v>0</v>
      </c>
      <c r="R309">
        <f t="shared" si="30"/>
        <v>1</v>
      </c>
      <c r="T309">
        <f t="shared" si="31"/>
        <v>1</v>
      </c>
      <c r="U309">
        <f t="shared" si="32"/>
        <v>0</v>
      </c>
      <c r="V309">
        <f t="shared" si="33"/>
        <v>0</v>
      </c>
      <c r="AA309">
        <v>60684.05</v>
      </c>
      <c r="AB309">
        <v>6399</v>
      </c>
      <c r="AC309">
        <v>99</v>
      </c>
      <c r="AD309">
        <v>3.5</v>
      </c>
      <c r="AE309">
        <f t="shared" si="34"/>
        <v>0</v>
      </c>
    </row>
    <row r="310" spans="1:31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P310">
        <f t="shared" si="28"/>
        <v>0</v>
      </c>
      <c r="Q310">
        <f t="shared" si="29"/>
        <v>0</v>
      </c>
      <c r="R310">
        <f t="shared" si="30"/>
        <v>1</v>
      </c>
      <c r="T310">
        <f t="shared" si="31"/>
        <v>0</v>
      </c>
      <c r="U310">
        <f t="shared" si="32"/>
        <v>1</v>
      </c>
      <c r="V310">
        <f t="shared" si="33"/>
        <v>0</v>
      </c>
      <c r="AA310">
        <v>48465.599999999999</v>
      </c>
      <c r="AB310">
        <v>5759</v>
      </c>
      <c r="AC310">
        <v>87.5</v>
      </c>
      <c r="AD310">
        <v>4</v>
      </c>
      <c r="AE310">
        <f t="shared" si="34"/>
        <v>0</v>
      </c>
    </row>
    <row r="311" spans="1:31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P311">
        <f t="shared" si="28"/>
        <v>0</v>
      </c>
      <c r="Q311">
        <f t="shared" si="29"/>
        <v>0</v>
      </c>
      <c r="R311">
        <f t="shared" si="30"/>
        <v>1</v>
      </c>
      <c r="T311">
        <f t="shared" si="31"/>
        <v>0</v>
      </c>
      <c r="U311">
        <f t="shared" si="32"/>
        <v>1</v>
      </c>
      <c r="V311">
        <f t="shared" si="33"/>
        <v>0</v>
      </c>
      <c r="AA311">
        <v>23702.38</v>
      </c>
      <c r="AB311">
        <v>5285</v>
      </c>
      <c r="AC311">
        <v>79.7</v>
      </c>
      <c r="AD311">
        <v>4.3</v>
      </c>
      <c r="AE311">
        <f t="shared" si="34"/>
        <v>0</v>
      </c>
    </row>
    <row r="312" spans="1:31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P312">
        <f t="shared" si="28"/>
        <v>0</v>
      </c>
      <c r="Q312">
        <f t="shared" si="29"/>
        <v>0</v>
      </c>
      <c r="R312">
        <f t="shared" si="30"/>
        <v>1</v>
      </c>
      <c r="T312">
        <f t="shared" si="31"/>
        <v>0</v>
      </c>
      <c r="U312">
        <f t="shared" si="32"/>
        <v>1</v>
      </c>
      <c r="V312">
        <f t="shared" si="33"/>
        <v>0</v>
      </c>
      <c r="AA312">
        <v>54322.94</v>
      </c>
      <c r="AB312">
        <v>5434</v>
      </c>
      <c r="AC312">
        <v>85.7</v>
      </c>
      <c r="AD312">
        <v>4.2</v>
      </c>
      <c r="AE312">
        <f t="shared" si="34"/>
        <v>0</v>
      </c>
    </row>
    <row r="313" spans="1:31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3.9239999999999999</v>
      </c>
      <c r="M313">
        <v>771129.07</v>
      </c>
      <c r="N313">
        <v>116851.13</v>
      </c>
      <c r="P313">
        <f t="shared" si="28"/>
        <v>0</v>
      </c>
      <c r="Q313">
        <f t="shared" si="29"/>
        <v>0</v>
      </c>
      <c r="R313">
        <f t="shared" si="30"/>
        <v>1</v>
      </c>
      <c r="T313">
        <f t="shared" si="31"/>
        <v>0</v>
      </c>
      <c r="U313">
        <f t="shared" si="32"/>
        <v>1</v>
      </c>
      <c r="V313">
        <f t="shared" si="33"/>
        <v>0</v>
      </c>
      <c r="AA313">
        <v>86026.58</v>
      </c>
      <c r="AB313">
        <v>7479</v>
      </c>
      <c r="AC313">
        <v>89</v>
      </c>
      <c r="AD313">
        <v>3.9239999999999999</v>
      </c>
      <c r="AE313">
        <f t="shared" si="34"/>
        <v>0</v>
      </c>
    </row>
    <row r="314" spans="1:31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P314">
        <f t="shared" si="28"/>
        <v>0</v>
      </c>
      <c r="Q314">
        <f t="shared" si="29"/>
        <v>1</v>
      </c>
      <c r="R314">
        <f t="shared" si="30"/>
        <v>0</v>
      </c>
      <c r="T314">
        <f t="shared" si="31"/>
        <v>1</v>
      </c>
      <c r="U314">
        <f t="shared" si="32"/>
        <v>0</v>
      </c>
      <c r="V314">
        <f t="shared" si="33"/>
        <v>0</v>
      </c>
      <c r="AA314">
        <v>78967.520000000004</v>
      </c>
      <c r="AB314">
        <v>6164</v>
      </c>
      <c r="AC314">
        <v>85.5</v>
      </c>
      <c r="AD314">
        <v>3.4</v>
      </c>
      <c r="AE314">
        <f t="shared" si="34"/>
        <v>0</v>
      </c>
    </row>
    <row r="315" spans="1:31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3.9239999999999999</v>
      </c>
      <c r="M315">
        <v>688368.46</v>
      </c>
      <c r="N315">
        <v>93588.42</v>
      </c>
      <c r="P315">
        <f t="shared" si="28"/>
        <v>0</v>
      </c>
      <c r="Q315">
        <f t="shared" si="29"/>
        <v>1</v>
      </c>
      <c r="R315">
        <f t="shared" si="30"/>
        <v>0</v>
      </c>
      <c r="T315">
        <f t="shared" si="31"/>
        <v>1</v>
      </c>
      <c r="U315">
        <f t="shared" si="32"/>
        <v>0</v>
      </c>
      <c r="V315">
        <f t="shared" si="33"/>
        <v>0</v>
      </c>
      <c r="AA315">
        <v>46767.99</v>
      </c>
      <c r="AB315">
        <v>7973</v>
      </c>
      <c r="AC315">
        <v>94.8</v>
      </c>
      <c r="AD315">
        <v>3.9239999999999999</v>
      </c>
      <c r="AE315">
        <f t="shared" si="34"/>
        <v>0</v>
      </c>
    </row>
    <row r="316" spans="1:31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P316">
        <f t="shared" si="28"/>
        <v>0</v>
      </c>
      <c r="Q316">
        <f t="shared" si="29"/>
        <v>1</v>
      </c>
      <c r="R316">
        <f t="shared" si="30"/>
        <v>0</v>
      </c>
      <c r="T316">
        <f t="shared" si="31"/>
        <v>1</v>
      </c>
      <c r="U316">
        <f t="shared" si="32"/>
        <v>0</v>
      </c>
      <c r="V316">
        <f t="shared" si="33"/>
        <v>0</v>
      </c>
      <c r="AA316">
        <v>62507.16</v>
      </c>
      <c r="AB316">
        <v>6000</v>
      </c>
      <c r="AC316">
        <v>98.2</v>
      </c>
      <c r="AD316">
        <v>3.9</v>
      </c>
      <c r="AE316">
        <f t="shared" si="34"/>
        <v>0</v>
      </c>
    </row>
    <row r="317" spans="1:31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P317">
        <f t="shared" si="28"/>
        <v>0</v>
      </c>
      <c r="Q317">
        <f t="shared" si="29"/>
        <v>1</v>
      </c>
      <c r="R317">
        <f t="shared" si="30"/>
        <v>0</v>
      </c>
      <c r="T317">
        <f t="shared" si="31"/>
        <v>1</v>
      </c>
      <c r="U317">
        <f t="shared" si="32"/>
        <v>0</v>
      </c>
      <c r="V317">
        <f t="shared" si="33"/>
        <v>0</v>
      </c>
      <c r="AA317">
        <v>66456.28</v>
      </c>
      <c r="AB317">
        <v>9967</v>
      </c>
      <c r="AC317">
        <v>94.7</v>
      </c>
      <c r="AD317">
        <v>4.2</v>
      </c>
      <c r="AE317">
        <f t="shared" si="34"/>
        <v>0</v>
      </c>
    </row>
    <row r="318" spans="1:31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P318">
        <f t="shared" si="28"/>
        <v>1</v>
      </c>
      <c r="Q318">
        <f t="shared" si="29"/>
        <v>0</v>
      </c>
      <c r="R318">
        <f t="shared" si="30"/>
        <v>0</v>
      </c>
      <c r="T318">
        <f t="shared" si="31"/>
        <v>1</v>
      </c>
      <c r="U318">
        <f t="shared" si="32"/>
        <v>0</v>
      </c>
      <c r="V318">
        <f t="shared" si="33"/>
        <v>0</v>
      </c>
      <c r="AA318">
        <v>76614.320000000007</v>
      </c>
      <c r="AB318">
        <v>5639</v>
      </c>
      <c r="AC318">
        <v>92.9</v>
      </c>
      <c r="AD318">
        <v>4</v>
      </c>
      <c r="AE318">
        <f t="shared" si="34"/>
        <v>0</v>
      </c>
    </row>
    <row r="319" spans="1:31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P319">
        <f t="shared" si="28"/>
        <v>1</v>
      </c>
      <c r="Q319">
        <f t="shared" si="29"/>
        <v>0</v>
      </c>
      <c r="R319">
        <f t="shared" si="30"/>
        <v>0</v>
      </c>
      <c r="T319">
        <f t="shared" si="31"/>
        <v>1</v>
      </c>
      <c r="U319">
        <f t="shared" si="32"/>
        <v>0</v>
      </c>
      <c r="V319">
        <f t="shared" si="33"/>
        <v>0</v>
      </c>
      <c r="AA319">
        <v>24088.06</v>
      </c>
      <c r="AB319">
        <v>3466</v>
      </c>
      <c r="AC319">
        <v>88</v>
      </c>
      <c r="AD319">
        <v>3.8</v>
      </c>
      <c r="AE319">
        <f t="shared" si="34"/>
        <v>0</v>
      </c>
    </row>
    <row r="320" spans="1:31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P320">
        <f t="shared" si="28"/>
        <v>1</v>
      </c>
      <c r="Q320">
        <f t="shared" si="29"/>
        <v>0</v>
      </c>
      <c r="R320">
        <f t="shared" si="30"/>
        <v>0</v>
      </c>
      <c r="T320">
        <f t="shared" si="31"/>
        <v>1</v>
      </c>
      <c r="U320">
        <f t="shared" si="32"/>
        <v>0</v>
      </c>
      <c r="V320">
        <f t="shared" si="33"/>
        <v>0</v>
      </c>
      <c r="AA320">
        <v>81902.58</v>
      </c>
      <c r="AB320">
        <v>7775</v>
      </c>
      <c r="AC320">
        <v>85.2</v>
      </c>
      <c r="AD320">
        <v>4.2</v>
      </c>
      <c r="AE320">
        <f t="shared" si="34"/>
        <v>0</v>
      </c>
    </row>
    <row r="321" spans="1:31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P321">
        <f t="shared" si="28"/>
        <v>1</v>
      </c>
      <c r="Q321">
        <f t="shared" si="29"/>
        <v>0</v>
      </c>
      <c r="R321">
        <f t="shared" si="30"/>
        <v>0</v>
      </c>
      <c r="T321">
        <f t="shared" si="31"/>
        <v>1</v>
      </c>
      <c r="U321">
        <f t="shared" si="32"/>
        <v>0</v>
      </c>
      <c r="V321">
        <f t="shared" si="33"/>
        <v>0</v>
      </c>
      <c r="AA321">
        <v>40553.11</v>
      </c>
      <c r="AB321">
        <v>5317</v>
      </c>
      <c r="AC321">
        <v>84.3</v>
      </c>
      <c r="AD321">
        <v>4.0999999999999996</v>
      </c>
      <c r="AE321">
        <f t="shared" si="34"/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10EF-4C4A-41D1-AE17-391D36ACB8BE}">
  <dimension ref="A1:I40"/>
  <sheetViews>
    <sheetView zoomScale="88" workbookViewId="0">
      <selection activeCell="E23" sqref="E23"/>
    </sheetView>
  </sheetViews>
  <sheetFormatPr defaultRowHeight="14.25"/>
  <sheetData>
    <row r="1" spans="1:9">
      <c r="A1" t="s">
        <v>124</v>
      </c>
    </row>
    <row r="2" spans="1:9" ht="15.75" thickBot="1">
      <c r="D2" s="9" t="s">
        <v>148</v>
      </c>
    </row>
    <row r="3" spans="1:9">
      <c r="A3" s="8" t="s">
        <v>125</v>
      </c>
      <c r="B3" s="8"/>
    </row>
    <row r="4" spans="1:9">
      <c r="A4" s="5" t="s">
        <v>126</v>
      </c>
      <c r="B4" s="5">
        <v>0.40977478417430607</v>
      </c>
    </row>
    <row r="5" spans="1:9">
      <c r="A5" s="5" t="s">
        <v>127</v>
      </c>
      <c r="B5" s="5">
        <v>0.1679153737450991</v>
      </c>
    </row>
    <row r="6" spans="1:9">
      <c r="A6" s="5" t="s">
        <v>128</v>
      </c>
      <c r="B6" s="5">
        <v>0.16529050110707103</v>
      </c>
    </row>
    <row r="7" spans="1:9">
      <c r="A7" s="5" t="s">
        <v>129</v>
      </c>
      <c r="B7" s="5">
        <v>94950.667202534241</v>
      </c>
    </row>
    <row r="8" spans="1:9" ht="15" thickBot="1">
      <c r="A8" s="6" t="s">
        <v>130</v>
      </c>
      <c r="B8" s="6">
        <v>319</v>
      </c>
    </row>
    <row r="10" spans="1:9" ht="15" thickBot="1">
      <c r="A10" t="s">
        <v>131</v>
      </c>
    </row>
    <row r="11" spans="1:9">
      <c r="A11" s="7"/>
      <c r="B11" s="7" t="s">
        <v>136</v>
      </c>
      <c r="C11" s="7" t="s">
        <v>137</v>
      </c>
      <c r="D11" s="7" t="s">
        <v>138</v>
      </c>
      <c r="E11" s="7" t="s">
        <v>139</v>
      </c>
      <c r="F11" s="7" t="s">
        <v>140</v>
      </c>
    </row>
    <row r="12" spans="1:9">
      <c r="A12" s="5" t="s">
        <v>132</v>
      </c>
      <c r="B12" s="5">
        <v>1</v>
      </c>
      <c r="C12" s="5">
        <v>576737600561.45068</v>
      </c>
      <c r="D12" s="5">
        <v>576737600561.45068</v>
      </c>
      <c r="E12" s="5">
        <v>63.970865219291035</v>
      </c>
      <c r="F12" s="5">
        <v>2.3909308565216624E-14</v>
      </c>
    </row>
    <row r="13" spans="1:9">
      <c r="A13" s="5" t="s">
        <v>133</v>
      </c>
      <c r="B13" s="5">
        <v>317</v>
      </c>
      <c r="C13" s="5">
        <v>2857954457099.4326</v>
      </c>
      <c r="D13" s="5">
        <v>9015629202.2064114</v>
      </c>
      <c r="E13" s="5"/>
      <c r="F13" s="5"/>
    </row>
    <row r="14" spans="1:9" ht="15" thickBot="1">
      <c r="A14" s="6" t="s">
        <v>134</v>
      </c>
      <c r="B14" s="6">
        <v>318</v>
      </c>
      <c r="C14" s="6">
        <v>3434692057660.8833</v>
      </c>
      <c r="D14" s="6"/>
      <c r="E14" s="6"/>
      <c r="F14" s="6"/>
    </row>
    <row r="15" spans="1:9" ht="15" thickBot="1"/>
    <row r="16" spans="1:9">
      <c r="A16" s="7"/>
      <c r="B16" s="7" t="s">
        <v>141</v>
      </c>
      <c r="C16" s="7" t="s">
        <v>129</v>
      </c>
      <c r="D16" s="7" t="s">
        <v>142</v>
      </c>
      <c r="E16" s="7" t="s">
        <v>143</v>
      </c>
      <c r="F16" s="7" t="s">
        <v>144</v>
      </c>
      <c r="G16" s="7" t="s">
        <v>145</v>
      </c>
      <c r="H16" s="7" t="s">
        <v>146</v>
      </c>
      <c r="I16" s="7" t="s">
        <v>147</v>
      </c>
    </row>
    <row r="17" spans="1:9">
      <c r="A17" s="5" t="s">
        <v>135</v>
      </c>
      <c r="B17" s="5">
        <v>560613.61507034348</v>
      </c>
      <c r="C17" s="5">
        <v>15927.264192377823</v>
      </c>
      <c r="D17" s="5">
        <v>35.198362273580649</v>
      </c>
      <c r="E17" s="5">
        <v>1.5413302459714516E-111</v>
      </c>
      <c r="F17" s="5">
        <v>529277.11047286727</v>
      </c>
      <c r="G17" s="5">
        <v>591950.1196678197</v>
      </c>
      <c r="H17" s="5">
        <v>529277.11047286727</v>
      </c>
      <c r="I17" s="5">
        <v>591950.1196678197</v>
      </c>
    </row>
    <row r="18" spans="1:9" ht="15" thickBot="1">
      <c r="A18" s="6">
        <v>70389.11</v>
      </c>
      <c r="B18" s="6">
        <v>2.1353768431354161</v>
      </c>
      <c r="C18" s="6">
        <v>0.26698288174478985</v>
      </c>
      <c r="D18" s="6">
        <v>7.9981788689232616</v>
      </c>
      <c r="E18" s="6">
        <v>2.3909308565221017E-14</v>
      </c>
      <c r="F18" s="6">
        <v>1.6100945221925103</v>
      </c>
      <c r="G18" s="6">
        <v>2.6606591640783219</v>
      </c>
      <c r="H18" s="6">
        <v>1.6100945221925103</v>
      </c>
      <c r="I18" s="6">
        <v>2.6606591640783219</v>
      </c>
    </row>
    <row r="23" spans="1:9" ht="15">
      <c r="A23" t="s">
        <v>124</v>
      </c>
      <c r="E23" s="9" t="s">
        <v>149</v>
      </c>
    </row>
    <row r="24" spans="1:9" ht="15" thickBot="1"/>
    <row r="25" spans="1:9">
      <c r="A25" s="8" t="s">
        <v>125</v>
      </c>
      <c r="B25" s="8"/>
    </row>
    <row r="26" spans="1:9">
      <c r="A26" s="5" t="s">
        <v>126</v>
      </c>
      <c r="B26" s="5">
        <v>0.23352485080328397</v>
      </c>
    </row>
    <row r="27" spans="1:9">
      <c r="A27" s="5" t="s">
        <v>127</v>
      </c>
      <c r="B27" s="5">
        <v>5.4533855942696045E-2</v>
      </c>
    </row>
    <row r="28" spans="1:9">
      <c r="A28" s="5" t="s">
        <v>128</v>
      </c>
      <c r="B28" s="5">
        <v>5.1551312901505809E-2</v>
      </c>
    </row>
    <row r="29" spans="1:9">
      <c r="A29" s="5" t="s">
        <v>129</v>
      </c>
      <c r="B29" s="5">
        <v>2432.5315498561731</v>
      </c>
    </row>
    <row r="30" spans="1:9" ht="15" thickBot="1">
      <c r="A30" s="6" t="s">
        <v>130</v>
      </c>
      <c r="B30" s="6">
        <v>319</v>
      </c>
    </row>
    <row r="32" spans="1:9" ht="15" thickBot="1">
      <c r="A32" t="s">
        <v>131</v>
      </c>
    </row>
    <row r="33" spans="1:9">
      <c r="A33" s="7"/>
      <c r="B33" s="7" t="s">
        <v>136</v>
      </c>
      <c r="C33" s="7" t="s">
        <v>137</v>
      </c>
      <c r="D33" s="7" t="s">
        <v>138</v>
      </c>
      <c r="E33" s="7" t="s">
        <v>139</v>
      </c>
      <c r="F33" s="7" t="s">
        <v>140</v>
      </c>
    </row>
    <row r="34" spans="1:9">
      <c r="A34" s="5" t="s">
        <v>132</v>
      </c>
      <c r="B34" s="5">
        <v>1</v>
      </c>
      <c r="C34" s="5">
        <v>108192324.18256354</v>
      </c>
      <c r="D34" s="5">
        <v>108192324.18256354</v>
      </c>
      <c r="E34" s="5">
        <v>18.284348352918791</v>
      </c>
      <c r="F34" s="5">
        <v>2.5210471730732802E-5</v>
      </c>
    </row>
    <row r="35" spans="1:9">
      <c r="A35" s="5" t="s">
        <v>133</v>
      </c>
      <c r="B35" s="5">
        <v>317</v>
      </c>
      <c r="C35" s="5">
        <v>1875755487.9114795</v>
      </c>
      <c r="D35" s="5">
        <v>5917209.7410456762</v>
      </c>
      <c r="E35" s="5"/>
      <c r="F35" s="5"/>
    </row>
    <row r="36" spans="1:9" ht="15" thickBot="1">
      <c r="A36" s="6" t="s">
        <v>134</v>
      </c>
      <c r="B36" s="6">
        <v>318</v>
      </c>
      <c r="C36" s="6">
        <v>1983947812.094043</v>
      </c>
      <c r="D36" s="6"/>
      <c r="E36" s="6"/>
      <c r="F36" s="6"/>
    </row>
    <row r="37" spans="1:9" ht="15" thickBot="1"/>
    <row r="38" spans="1:9">
      <c r="A38" s="7"/>
      <c r="B38" s="7" t="s">
        <v>141</v>
      </c>
      <c r="C38" s="7" t="s">
        <v>129</v>
      </c>
      <c r="D38" s="7" t="s">
        <v>142</v>
      </c>
      <c r="E38" s="7" t="s">
        <v>143</v>
      </c>
      <c r="F38" s="7" t="s">
        <v>144</v>
      </c>
      <c r="G38" s="7" t="s">
        <v>145</v>
      </c>
      <c r="H38" s="7" t="s">
        <v>146</v>
      </c>
      <c r="I38" s="7" t="s">
        <v>147</v>
      </c>
    </row>
    <row r="39" spans="1:9">
      <c r="A39" s="5" t="s">
        <v>135</v>
      </c>
      <c r="B39" s="5">
        <v>4914.6052623257392</v>
      </c>
      <c r="C39" s="5">
        <v>408.03897215605332</v>
      </c>
      <c r="D39" s="5">
        <v>12.044450647341996</v>
      </c>
      <c r="E39" s="5">
        <v>9.1537571849225773E-28</v>
      </c>
      <c r="F39" s="5">
        <v>4111.7985170821476</v>
      </c>
      <c r="G39" s="5">
        <v>5717.4120075693309</v>
      </c>
      <c r="H39" s="5">
        <v>4111.7985170821476</v>
      </c>
      <c r="I39" s="5">
        <v>5717.4120075693309</v>
      </c>
    </row>
    <row r="40" spans="1:9" ht="15" thickBot="1">
      <c r="A40" s="6">
        <v>70389.11</v>
      </c>
      <c r="B40" s="6">
        <v>2.9247154601220082E-2</v>
      </c>
      <c r="C40" s="6">
        <v>6.8398074731842147E-3</v>
      </c>
      <c r="D40" s="6">
        <v>4.2760201534743372</v>
      </c>
      <c r="E40" s="6">
        <v>2.5210471730733795E-5</v>
      </c>
      <c r="F40" s="6">
        <v>1.5789999892135628E-2</v>
      </c>
      <c r="G40" s="6">
        <v>4.2704309310304535E-2</v>
      </c>
      <c r="H40" s="6">
        <v>1.5789999892135628E-2</v>
      </c>
      <c r="I40" s="6">
        <v>4.2704309310304535E-2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2" t="s">
        <v>102</v>
      </c>
      <c r="B1" s="2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.5">
      <c r="A5" s="4" t="s">
        <v>3</v>
      </c>
      <c r="B5" s="4" t="s">
        <v>107</v>
      </c>
    </row>
    <row r="6" spans="1:2" ht="28.5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.5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.5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.75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.5">
      <c r="A14" s="4" t="s">
        <v>12</v>
      </c>
      <c r="B14" s="4" t="s">
        <v>116</v>
      </c>
    </row>
    <row r="15" spans="1:2" ht="28.5">
      <c r="A15" s="4" t="s">
        <v>13</v>
      </c>
      <c r="B1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Multiple_Regression</vt:lpstr>
      <vt:lpstr>residual</vt:lpstr>
      <vt:lpstr>Model_Comparison</vt:lpstr>
      <vt:lpstr>Dummy_Variables</vt:lpstr>
      <vt:lpstr>Simple_Regression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N.V.N PHANINDRA</dc:creator>
  <cp:lastModifiedBy>Phanindra N.V.N</cp:lastModifiedBy>
  <dcterms:created xsi:type="dcterms:W3CDTF">2026-06-24T10:44:50Z</dcterms:created>
  <dcterms:modified xsi:type="dcterms:W3CDTF">2026-06-24T12:32:43Z</dcterms:modified>
</cp:coreProperties>
</file>